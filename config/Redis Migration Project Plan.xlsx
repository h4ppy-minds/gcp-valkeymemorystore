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v" sheetId="2" state="visible" r:id="rId4"/>
    <sheet name="QA" sheetId="3" state="visible" r:id="rId5"/>
    <sheet name="UAT" sheetId="4" state="visible" r:id="rId6"/>
    <sheet name="Pr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<sst xmlns="http://schemas.openxmlformats.org/spreadsheetml/2006/main" count="621" uniqueCount="149">
  <si>
    <t xml:space="preserve">Valkey Terraform Module — Program Status Overview
Self-service, production-ready Terraform module for Google Cloud Memorystore for Valkey, rolling out across Dev → QA → UAT → Prod</t>
  </si>
  <si>
    <t xml:space="preserve">Snapshot date:</t>
  </si>
  <si>
    <t xml:space="preserve">7/28/2026</t>
  </si>
  <si>
    <t xml:space="preserve">Environment</t>
  </si>
  <si>
    <t xml:space="preserve">Completed</t>
  </si>
  <si>
    <t xml:space="preserve">In Progress</t>
  </si>
  <si>
    <t xml:space="preserve">Pending / Blocked</t>
  </si>
  <si>
    <t xml:space="preserve">Not Started</t>
  </si>
  <si>
    <t xml:space="preserve">Dev</t>
  </si>
  <si>
    <t xml:space="preserve">QA</t>
  </si>
  <si>
    <t xml:space="preserve">UAT</t>
  </si>
  <si>
    <t xml:space="preserve">Prod</t>
  </si>
  <si>
    <t xml:space="preserve">Program Structure</t>
  </si>
  <si>
    <t xml:space="preserve">Phase 0 — Requirements Gathering</t>
  </si>
  <si>
    <t xml:space="preserve">Access, architecture, IAM/networking design, team &amp; standards alignment.</t>
  </si>
  <si>
    <t xml:space="preserve">Phase 1 — Module Design (Architecture)</t>
  </si>
  <si>
    <t xml:space="preserve">Module structure/mapping, dependency sequencing, and required outputs. ("Module Structure" was folded into "Module Mapping" — duplicate, no independent tracking value.)</t>
  </si>
  <si>
    <t xml:space="preserve">Phase 2 — Code Build Stage (Implementation)</t>
  </si>
  <si>
    <t xml:space="preserve">Terraform build-out: variables, core resource, data protection, IAM, guardrails, observability, and the self-service consumer onboarding pattern.</t>
  </si>
  <si>
    <t xml:space="preserve">Phase 3 — Code Test Stage (Validation &amp; Testing)</t>
  </si>
  <si>
    <t xml:space="preserve">Static analysis, deployment, integration, idempotency, and update testing.</t>
  </si>
  <si>
    <t xml:space="preserve">Phase 4 — Validation &amp; Completion (Production Readiness)</t>
  </si>
  <si>
    <t xml:space="preserve">Code quality, functional validation, security validation, and stakeholder sign-off.</t>
  </si>
  <si>
    <t xml:space="preserve">Current Key Roadblock</t>
  </si>
  <si>
    <t xml:space="preserve">Dev — Observability (alerting) build is blocked: the Terraform service account lacks the required IAM roles (roles/monitoring.alertPolicyEditor, roles/monitoring.notificationChannelEditor) to create/manage alert policies. This also blocks Phase 3 Integration Testing's alert-policy verification step. Awaiting role grant.</t>
  </si>
  <si>
    <t xml:space="preserve">Dev — What's Working / In Progress</t>
  </si>
  <si>
    <t xml:space="preserve">•  Instance provisioning validated for Standalone, HA, and DR topologies — all with PSC endpoints.</t>
  </si>
  <si>
    <t xml:space="preserve">•  Automated backups and scheduled snapshots validated.</t>
  </si>
  <si>
    <t xml:space="preserve">•  Code quality validation passed on the Valkey module.</t>
  </si>
  <si>
    <t xml:space="preserve">•  Self-service JSON-based consumer onboarding pattern in progress (create/delete via request file).</t>
  </si>
  <si>
    <t xml:space="preserve">•  Pending: connect to instance via a connection client to test reachability; IAM (client-auth) integration still pending.</t>
  </si>
  <si>
    <t xml:space="preserve">Terraform Module — Memorystore for Valkey | Dev Environment Project Plan
Goal: Build, test, validate and deliver a production-ready, self-service Terraform module that any consumer team can use to provision a fully-configured Valkey cache cluster on GCP</t>
  </si>
  <si>
    <t xml:space="preserve">Status legend:</t>
  </si>
  <si>
    <t xml:space="preserve">Pending</t>
  </si>
  <si>
    <t xml:space="preserve">Blocked</t>
  </si>
  <si>
    <t xml:space="preserve">PHASE</t>
  </si>
  <si>
    <t xml:space="preserve">TASKS</t>
  </si>
  <si>
    <t xml:space="preserve">SubComments</t>
  </si>
  <si>
    <t xml:space="preserve">Start (date)</t>
  </si>
  <si>
    <t xml:space="preserve">Finish (date)</t>
  </si>
  <si>
    <t xml:space="preserve">Status</t>
  </si>
  <si>
    <t xml:space="preserve">Owner</t>
  </si>
  <si>
    <t xml:space="preserve">Key Contacts (Dependency)</t>
  </si>
  <si>
    <t xml:space="preserve">PHASE 0 -  REQUIREMENTS GATHERING - The objective of this project is to design, build, and deliver a standardized, production-ready Terraform module for deploying and managing Google Cloud Memorystore for Valkey instances. This module will enforce enterprise-grade standards across: Security, Availability, Networking, Observability, Cost governance</t>
  </si>
  <si>
    <t xml:space="preserve">Consumer Inputs</t>
  </si>
  <si>
    <t xml:space="preserve">Intake Form Variables
UPDATE 7/28/2026: As per Siva's recommendation, ready the Terraform module for Valkey and publish it to the Terraform Registry, listing the variables that are actually required vs. defaulted. Module is ready — pending connect with Seyi to confirm the process to push modules to the registry.</t>
  </si>
  <si>
    <t xml:space="preserve">6/29/2026</t>
  </si>
  <si>
    <t xml:space="preserve">Satishkumar Sivakumar</t>
  </si>
  <si>
    <t xml:space="preserve">Siva Rajadurai, William Duong, Seyi Babaniji (guided discovery phase)</t>
  </si>
  <si>
    <t xml:space="preserve">Production Standards (Non-Negotiable)</t>
  </si>
  <si>
    <t xml:space="preserve">Define and document: Security baseline, Availability SLAs, Observability requirements, Networking constraints (private access only)
UPDATE 7/28/2026: TLS — certificate will be Google-managed CA per instance. IAM — manual process to pull groups into GCP and assign roles/memorystore.dbConnectionUser for client authentication (pending confirmation this is the correct role). Networking — PSC-based; we will be given the network host project and VPC name, and the module creates the PSC endpoint against the already-established connection policy.</t>
  </si>
  <si>
    <t xml:space="preserve">Siva Rajadurai, William Duong</t>
  </si>
  <si>
    <t xml:space="preserve">GCP Access &amp; Setup</t>
  </si>
  <si>
    <t xml:space="preserve">Access to target GCP project (DATAHUB)
API enablement validation
Billing and quota verification
RBAC role assignments requested for system accounts: AZ_PIM_GCP_Memstore_Admins_NPE (completed via AR3791958), AZ_PIM_GCP_Memstore_Admins_PROD (pending via AR3792429).</t>
  </si>
  <si>
    <t xml:space="preserve">6/30/2026</t>
  </si>
  <si>
    <t xml:space="preserve">7/7/2026</t>
  </si>
  <si>
    <t xml:space="preserve">Siva Rajadurai, William Duong, Seyi Babaniji (guided discovery phase), Vicky Baldock for approvals</t>
  </si>
  <si>
    <t xml:space="preserve">Team Structure &amp; Ownership</t>
  </si>
  <si>
    <t xml:space="preserve">Teams involved (Cloud, Network, Security)
Named contacts (owners)
Roles and responsibilities
UPDATE 7/28/2026: IMDG team owns the Terraform module. Siva will build a wrapper service on top of the module. Network team creates the connection policy and assists with subnet assignment in required regions. Security — manual process today (create groups, assign the dbConnectionUser role); automation is planned as a future enhancement.</t>
  </si>
  <si>
    <t xml:space="preserve">Architecture &amp; Design Review</t>
  </si>
  <si>
    <t xml:space="preserve">Memorystore for Valkey architecture using Private Service Connect (PSC). Design review required for network topology, routing, PSC connectivity model, and subnet allocation strategy.</t>
  </si>
  <si>
    <t xml:space="preserve">7/22/2026</t>
  </si>
  <si>
    <t xml:space="preserve">Terraform Platform Setup</t>
  </si>
  <si>
    <t xml:space="preserve">Terraform state storage (GCS backend)
Service accounts: Dev / QA / Prod environments
IAM roles for Terraform execution
GitHub repository access requested and completed through ARTASK113104926 and ARTASK113104893. Repos: AZ_GCP_CW_IT_MEMORYSTORE_VIEWER_NPE (AR3792491, completed), AZ_GCP_HUM_IT_MEMORYSTORE_VIEWER_NPE (AR3792463, completed), AZ_GCP_SS_IT_MEMORYSTORE_VIEWER_NPE (AR3792491, completed).</t>
  </si>
  <si>
    <t xml:space="preserve">7/6/2026</t>
  </si>
  <si>
    <t xml:space="preserve">Vicky Baldock for approvals</t>
  </si>
  <si>
    <t xml:space="preserve">Identity &amp; Access</t>
  </si>
  <si>
    <t xml:space="preserve">Google Groups mapping
Workspace delegation
AD / IAM group mappings for access control
RBAC for AD group membership requested for: AZ_PIM_GCP_Memstore_Admins_NPE, PSC Deployer, Compute Network Viewer, DNS Resource Records Editor, Monitoring Admin, Tech Support Editor, Tech Support Viewer, Viewer. Google Group access completed: g_google_org_database_admins, g_google_org_viewers, G_GCP_SyncdUsers.</t>
  </si>
  <si>
    <t xml:space="preserve">Networking Design Considerations</t>
  </si>
  <si>
    <t xml:space="preserve">PSC connectivity model
Dedicated IP ranges/subnet planning
Avoid IP range overlap
Routing validation
UPDATE 7/28/2026: Connection policies ready for NPE (Dev). Testing still pending — need code to reach and test the instance.</t>
  </si>
  <si>
    <t xml:space="preserve">Connect with Siva Rajadurai, William Duong after completing first draft of Valkey module</t>
  </si>
  <si>
    <t xml:space="preserve">Pre-Production Checklist</t>
  </si>
  <si>
    <t xml:space="preserve">Ensure: Networking readiness (VPC, subnets, firewall rules), no quota constraints, budget alerts configured, required APIs enabled
UPDATE 7/28/2026: Networking readiness and Terraform instance setup access are ready; alert and notification policy setup still pending.</t>
  </si>
  <si>
    <t xml:space="preserve">PHASE 1 – Module Design
(Architecture Phase)</t>
  </si>
  <si>
    <t xml:space="preserve">Outputs &amp; Integrations</t>
  </si>
  <si>
    <t xml:space="preserve">Terraform outputs required:
PSC endpoint / instance details
Connection endpoints
Notification channels: Email / PagerDuty
UPDATE 7/28/2026: Outputs decided — instance details, connection details, PSC endpoints, and alert policy setup with the capability to notify app and platform teams.</t>
  </si>
  <si>
    <t xml:space="preserve">7/27/2026</t>
  </si>
  <si>
    <t xml:space="preserve">Module Mapping</t>
  </si>
  <si>
    <t xml:space="preserve">Info on root and sub-modules
Identify reusable internal modules
Standardize naming conventions
Define input/output interfaces</t>
  </si>
  <si>
    <t xml:space="preserve">7/23/2026</t>
  </si>
  <si>
    <t xml:space="preserve">Dependency Planning</t>
  </si>
  <si>
    <t xml:space="preserve">Establish execution order:
Networking readiness
Core instance deployment
IAM bindings
Observability setup</t>
  </si>
  <si>
    <t xml:space="preserve">8/1/2026</t>
  </si>
  <si>
    <t xml:space="preserve">PHASE 2 – Code Build Stage
(Implementation)</t>
  </si>
  <si>
    <t xml:space="preserve">Input Variables</t>
  </si>
  <si>
    <t xml:space="preserve">Finalize variables.tf (~40+ parameters)
Include: descriptions, defaults where applicable, validation rules
Core variable set validated through successful Dev deployments (Standalone / HA / DR); full parameter set with defaults and validation rules still being finalized ahead of registry publish.</t>
  </si>
  <si>
    <t xml:space="preserve">Core Resource Deployment</t>
  </si>
  <si>
    <t xml:space="preserve">Memorystore Valkey instance creation configuration: memory sizing, replica configuration, and regional settings
Successful in Dev: instance provisioning validated across Standalone, HA, and DR topologies, all with PSC endpoints.</t>
  </si>
  <si>
    <t xml:space="preserve">Data Protection</t>
  </si>
  <si>
    <t xml:space="preserve">Backup configuration and schedules, persistence setup
Automated backups and scheduled snapshots validated in Dev.</t>
  </si>
  <si>
    <t xml:space="preserve">Maintenance Configuration</t>
  </si>
  <si>
    <t xml:space="preserve">Maintenance window definition and upgrade strategy</t>
  </si>
  <si>
    <t xml:space="preserve">IAM Integration</t>
  </si>
  <si>
    <t xml:space="preserve">Role bindings, service account permissions, group-based access
Pending. Client-authentication IAM integration for instance connectivity not yet complete.</t>
  </si>
  <si>
    <t xml:space="preserve">Production Guardrails</t>
  </si>
  <si>
    <t xml:space="preserve">Deletion protection enabled, no public access, enforce private connectivity (PSC), secure defaults</t>
  </si>
  <si>
    <t xml:space="preserve">Observability</t>
  </si>
  <si>
    <t xml:space="preserve">Implement alerting policies: memory/CPU utilization thresholds, node health status, replication lag, connection spikes/errors. Integrations: Cloud Monitoring, notification channels
Alert module in progress. ROADBLOCK: Terraform service account does not have the required IAM roles (roles/monitoring.alertPolicyEditor, roles/monitoring.notificationChannelEditor) to create/manage alert policies — awaiting role grant to proceed.</t>
  </si>
  <si>
    <t xml:space="preserve">Consumer Onboarding Pattern (Self-Service)</t>
  </si>
  <si>
    <t xml:space="preserve">Self-service intake mechanism for consumer teams to request new instances or decommission existing ones.
Building a JSON-based onboarding pattern: each consumer team drops a request JSON file (request_type: create/delete) into the onboarding-files folder. terraform apply merges global defaults, per-environment infra, and the request payload, and creates or deletes the instance accordingly on the next apply.</t>
  </si>
  <si>
    <t xml:space="preserve">PHASE 3 – Code Test Stage
(Validation &amp; Testing)</t>
  </si>
  <si>
    <t xml:space="preserve">Static Analysis</t>
  </si>
  <si>
    <t xml:space="preserve">Terraform validation, linting checks</t>
  </si>
  <si>
    <t xml:space="preserve">Deployment Testing</t>
  </si>
  <si>
    <t xml:space="preserve">Deploy module in Dev environment, validate resource creation
Module successfully deployed and instances created in Dev.</t>
  </si>
  <si>
    <t xml:space="preserve">Integration Testing</t>
  </si>
  <si>
    <t xml:space="preserve">Verify: instance provisioning, PSC connectivity, IAM roles applied correctly, alert policies created, backup schedules active
Pending: connect to the instance via a connection client to validate reachability and test the instance. IAM role verification and alert-policy checks are blocked behind the Observability roadblock above.</t>
  </si>
  <si>
    <t xml:space="preserve">Idempotency Testing</t>
  </si>
  <si>
    <t xml:space="preserve">Run multiple terraform apply; ensure no unintended changes</t>
  </si>
  <si>
    <t xml:space="preserve">Update Testing</t>
  </si>
  <si>
    <t xml:space="preserve">Modify parameters; validate in-place updates with no destructive changes</t>
  </si>
  <si>
    <t xml:space="preserve">PHASE 4 – Validation &amp; Completion
(Production Readiness)</t>
  </si>
  <si>
    <t xml:space="preserve">Code Quality</t>
  </si>
  <si>
    <t xml:space="preserve">Zero validation errors, no hardcoded values, all variables documented, no secrets in code
Code quality validation passed in the Valkey module.</t>
  </si>
  <si>
    <t xml:space="preserve">Functional Validation</t>
  </si>
  <si>
    <t xml:space="preserve">Instance creation successful; PSC endpoint auto-created and reachable from client network; alerts visible in Cloud Monitoring; test alerts trigger successfully; backups visible and restorable</t>
  </si>
  <si>
    <t xml:space="preserve">Security Validation</t>
  </si>
  <si>
    <t xml:space="preserve">No public endpoints, TLS enforced, IAM authentication configured, deletion protection enabled</t>
  </si>
  <si>
    <t xml:space="preserve">Stakeholder Sign-Off</t>
  </si>
  <si>
    <t xml:space="preserve">Required approvals: Cloud Team, Network Team, Security Team, IMDG Team</t>
  </si>
  <si>
    <t xml:space="preserve">Completion Criteria</t>
  </si>
  <si>
    <t xml:space="preserve">All 4 phases are successfully delivered</t>
  </si>
  <si>
    <t xml:space="preserve">All stakeholder sign-offs are obtained</t>
  </si>
  <si>
    <t xml:space="preserve">Terraform module is production-ready and reusable</t>
  </si>
  <si>
    <t xml:space="preserve">Consumer intake process is implemented</t>
  </si>
  <si>
    <t xml:space="preserve">Module is handed over to Siva's Team</t>
  </si>
  <si>
    <t xml:space="preserve">Post-Deployment Success Criteria</t>
  </si>
  <si>
    <t xml:space="preserve">Monitoring alerts functioning correctly
No unexpected cost spikes
Backups exist and are restorable
Stable performance in production</t>
  </si>
  <si>
    <t xml:space="preserve">Terraform Module — Memorystore for Valkey | QA Environment Project Plan
Goal: Build, test, validate and deliver a production-ready, self-service Terraform module that any consumer team can use to provision a fully-configured Valkey cache cluster on GCP</t>
  </si>
  <si>
    <t xml:space="preserve">Intake Form Variables</t>
  </si>
  <si>
    <t xml:space="preserve">Define and document: Security baseline, Availability SLAs, Observability requirements, Networking constraints (private access only)</t>
  </si>
  <si>
    <t xml:space="preserve">Access to target GCP project (DATAHUB)
API enablement validation
Billing and quota verification</t>
  </si>
  <si>
    <t xml:space="preserve">Teams involved (Cloud, Network, Security)
Named contacts (owners)
Roles and responsibilities</t>
  </si>
  <si>
    <t xml:space="preserve">Terraform state storage (GCS backend)
Service accounts: Dev / QA / Prod environments
IAM roles for Terraform execution</t>
  </si>
  <si>
    <t xml:space="preserve">Google Groups mapping
Workspace delegation
AD / IAM group mappings for access control</t>
  </si>
  <si>
    <t xml:space="preserve">PSC connectivity model
Dedicated IP ranges/subnet planning
Avoid IP range overlap
Routing validation</t>
  </si>
  <si>
    <t xml:space="preserve">Ensure: Networking readiness (VPC, subnets, firewall rules), no quota constraints, budget alerts configured, required APIs enabled</t>
  </si>
  <si>
    <t xml:space="preserve">Terraform outputs required:
PSC endpoint / instance details
Connection endpoints
Notification channels: Email / PagerDuty</t>
  </si>
  <si>
    <t xml:space="preserve">Finalize variables.tf (~40+ parameters)
Include: descriptions, defaults where applicable, validation rules</t>
  </si>
  <si>
    <t xml:space="preserve">Memorystore Valkey instance creation configuration: memory sizing, replica configuration, and regional settings</t>
  </si>
  <si>
    <t xml:space="preserve">Backup configuration and schedules, persistence setup</t>
  </si>
  <si>
    <t xml:space="preserve">Role bindings, service account permissions, group-based access</t>
  </si>
  <si>
    <t xml:space="preserve">Implement alerting policies: memory/CPU utilization thresholds, node health status, replication lag, connection spikes/errors. Integrations: Cloud Monitoring, notification channels</t>
  </si>
  <si>
    <t xml:space="preserve">Self-service intake mechanism for consumer teams to request new instances or decommission existing ones.</t>
  </si>
  <si>
    <t xml:space="preserve">Deploy module in Dev environment, validate resource creation</t>
  </si>
  <si>
    <t xml:space="preserve">Verify: instance provisioning, PSC connectivity, IAM roles applied correctly, alert policies created, backup schedules active</t>
  </si>
  <si>
    <t xml:space="preserve">Zero validation errors, no hardcoded values, all variables documented, no secrets in code</t>
  </si>
  <si>
    <t xml:space="preserve">Terraform Module — Memorystore for Valkey | UAT Environment Project Plan
Goal: Build, test, validate and deliver a production-ready, self-service Terraform module that any consumer team can use to provision a fully-configured Valkey cache cluster on GCP</t>
  </si>
  <si>
    <t xml:space="preserve">Terraform Module — Memorystore for Valkey | Prod Environment Project Plan
Goal: Build, test, validate and deliver a production-ready, self-service Terraform module that any consumer team can use to provision a fully-configured Valkey cache cluster on GCP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</si>
</sst>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F6DDCC"/>
      </patternFill>
    </fill>
    <fill>
      <patternFill patternType="solid">
        <fgColor rgb="FFF4A6A6"/>
        <bgColor rgb="FFF4CCCC"/>
      </patternFill>
    </fill>
    <fill>
      <patternFill patternType="solid">
        <fgColor rgb="FFFCE4E4"/>
        <bgColor rgb="FFF6DDCC"/>
      </patternFill>
    </fill>
    <fill>
      <patternFill patternType="solid">
        <fgColor rgb="FFC6E0B4"/>
        <bgColor rgb="FFD9D9D9"/>
      </patternFill>
    </fill>
    <fill>
      <patternFill patternType="solid">
        <fgColor rgb="FF92D050"/>
        <bgColor rgb="FFA9D18E"/>
      </patternFill>
    </fill>
    <fill>
      <patternFill patternType="solid">
        <fgColor rgb="FFA9D18E"/>
        <bgColor rgb="FFC6E0B4"/>
      </patternFill>
    </fill>
    <fill>
      <patternFill patternType="solid">
        <fgColor rgb="FF9DC3E6"/>
        <bgColor rgb="FFB7B7B7"/>
      </patternFill>
    </fill>
    <fill>
      <patternFill patternType="solid">
        <fgColor rgb="FFFFD966"/>
        <bgColor rgb="FFFFE599"/>
      </patternFill>
    </fill>
    <fill>
      <patternFill patternType="solid">
        <fgColor rgb="FF7F7F7F"/>
        <bgColor rgb="FF666699"/>
      </patternFill>
    </fill>
    <fill>
      <patternFill patternType="solid">
        <fgColor rgb="FFF4CCCC"/>
        <bgColor rgb="FFF6DDCC"/>
      </patternFill>
    </fill>
    <fill>
      <patternFill patternType="solid">
        <fgColor rgb="FFFFE599"/>
        <bgColor rgb="FFF6DDCC"/>
      </patternFill>
    </fill>
    <fill>
      <patternFill patternType="solid">
        <fgColor rgb="FFF6DDCC"/>
        <bgColor rgb="FFFCE4E4"/>
      </patternFill>
    </fill>
    <fill>
      <patternFill patternType="solid">
        <fgColor rgb="FF34A853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CE4E4"/>
      <rgbColor rgb="FFF6DDC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599"/>
      <rgbColor rgb="FF9DC3E6"/>
      <rgbColor rgb="FFF4A6A6"/>
      <rgbColor rgb="FFCC99FF"/>
      <rgbColor rgb="FFF4CCCC"/>
      <rgbColor rgb="FF4472C4"/>
      <rgbColor rgb="FF33CCCC"/>
      <rgbColor rgb="FF92D050"/>
      <rgbColor rgb="FFFFD966"/>
      <rgbColor rgb="FFFF9900"/>
      <rgbColor rgb="FFFF6600"/>
      <rgbColor rgb="FF666699"/>
      <rgbColor rgb="FFA9D18E"/>
      <rgbColor rgb="FF003366"/>
      <rgbColor rgb="FF34A853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5" customFormat="false" ht="15" hidden="false" customHeight="false" outlineLevel="0" collapsed="false">
      <c r="A5" s="2" t="s">
        <v>1</v>
      </c>
      <c r="B5" s="3" t="s">
        <v>2</v>
      </c>
    </row>
    <row r="7" customFormat="false" ht="23.85" hidden="false" customHeight="false" outlineLevel="0" collapsed="false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customFormat="false" ht="15" hidden="false" customHeight="false" outlineLevel="0" collapsed="false">
      <c r="A8" s="2" t="s">
        <v>8</v>
      </c>
      <c r="B8" s="5" t="n">
        <f aca="false">COUNTIF(Dev!F8:F42,"Completed")</f>
        <v>8</v>
      </c>
      <c r="C8" s="5" t="n">
        <f aca="false">COUNTIF(Dev!F8:F42,"In Progress")</f>
        <v>2</v>
      </c>
      <c r="D8" s="5" t="n">
        <f aca="false">COUNTIF(Dev!F8:F42,"Pending")+COUNTIF(Dev!F8:F42,"Blocked")</f>
        <v>10</v>
      </c>
      <c r="E8" s="5" t="n">
        <f aca="false">COUNTIF(Dev!F8:F42,"Not Started")</f>
        <v>9</v>
      </c>
    </row>
    <row r="9" customFormat="false" ht="15" hidden="false" customHeight="false" outlineLevel="0" collapsed="false">
      <c r="A9" s="2" t="s">
        <v>9</v>
      </c>
      <c r="B9" s="5" t="n">
        <f aca="false">COUNTIF(QA!F8:F42,"Completed")</f>
        <v>0</v>
      </c>
      <c r="C9" s="5" t="n">
        <f aca="false">COUNTIF(QA!F8:F42,"In Progress")</f>
        <v>0</v>
      </c>
      <c r="D9" s="5" t="n">
        <f aca="false">COUNTIF(QA!F8:F42,"Pending")+COUNTIF(QA!F8:F42,"Blocked")</f>
        <v>0</v>
      </c>
      <c r="E9" s="5" t="n">
        <f aca="false">COUNTIF(QA!F8:F42,"Not Started")</f>
        <v>29</v>
      </c>
    </row>
    <row r="10" customFormat="false" ht="15" hidden="false" customHeight="false" outlineLevel="0" collapsed="false">
      <c r="A10" s="2" t="s">
        <v>10</v>
      </c>
      <c r="B10" s="5" t="n">
        <f aca="false">COUNTIF(UAT!F8:F42,"Completed")</f>
        <v>0</v>
      </c>
      <c r="C10" s="5" t="n">
        <f aca="false">COUNTIF(UAT!F8:F42,"In Progress")</f>
        <v>0</v>
      </c>
      <c r="D10" s="5" t="n">
        <f aca="false">COUNTIF(UAT!F8:F42,"Pending")+COUNTIF(UAT!F8:F42,"Blocked")</f>
        <v>0</v>
      </c>
      <c r="E10" s="5" t="n">
        <f aca="false">COUNTIF(UAT!F8:F42,"Not Started")</f>
        <v>29</v>
      </c>
    </row>
    <row r="11" customFormat="false" ht="15" hidden="false" customHeight="false" outlineLevel="0" collapsed="false">
      <c r="A11" s="2" t="s">
        <v>11</v>
      </c>
      <c r="B11" s="5" t="n">
        <f aca="false">COUNTIF(Prod!F8:F42,"Completed")</f>
        <v>0</v>
      </c>
      <c r="C11" s="5" t="n">
        <f aca="false">COUNTIF(Prod!F8:F42,"In Progress")</f>
        <v>0</v>
      </c>
      <c r="D11" s="5" t="n">
        <f aca="false">COUNTIF(Prod!F8:F42,"Pending")+COUNTIF(Prod!F8:F42,"Blocked")</f>
        <v>0</v>
      </c>
      <c r="E11" s="5" t="n">
        <f aca="false">COUNTIF(Prod!F8:F42,"Not Started")</f>
        <v>29</v>
      </c>
    </row>
    <row r="13" customFormat="false" ht="15" hidden="false" customHeight="true" outlineLevel="0" collapsed="false">
      <c r="A13" s="6" t="s">
        <v>12</v>
      </c>
      <c r="B13" s="6"/>
      <c r="C13" s="6"/>
      <c r="D13" s="6"/>
      <c r="E13" s="6"/>
      <c r="F13" s="6"/>
    </row>
    <row r="14" customFormat="false" ht="30" hidden="false" customHeight="true" outlineLevel="0" collapsed="false">
      <c r="A14" s="2" t="s">
        <v>13</v>
      </c>
      <c r="B14" s="7" t="s">
        <v>14</v>
      </c>
      <c r="C14" s="7"/>
      <c r="D14" s="7"/>
      <c r="E14" s="7"/>
      <c r="F14" s="7"/>
    </row>
    <row r="15" customFormat="false" ht="30" hidden="false" customHeight="true" outlineLevel="0" collapsed="false">
      <c r="A15" s="2" t="s">
        <v>15</v>
      </c>
      <c r="B15" s="7" t="s">
        <v>16</v>
      </c>
      <c r="C15" s="7"/>
      <c r="D15" s="7"/>
      <c r="E15" s="7"/>
      <c r="F15" s="7"/>
    </row>
    <row r="16" customFormat="false" ht="30" hidden="false" customHeight="true" outlineLevel="0" collapsed="false">
      <c r="A16" s="2" t="s">
        <v>17</v>
      </c>
      <c r="B16" s="7" t="s">
        <v>18</v>
      </c>
      <c r="C16" s="7"/>
      <c r="D16" s="7"/>
      <c r="E16" s="7"/>
      <c r="F16" s="7"/>
    </row>
    <row r="17" customFormat="false" ht="30" hidden="false" customHeight="true" outlineLevel="0" collapsed="false">
      <c r="A17" s="2" t="s">
        <v>19</v>
      </c>
      <c r="B17" s="7" t="s">
        <v>20</v>
      </c>
      <c r="C17" s="7"/>
      <c r="D17" s="7"/>
      <c r="E17" s="7"/>
      <c r="F17" s="7"/>
    </row>
    <row r="18" customFormat="false" ht="30" hidden="false" customHeight="true" outlineLevel="0" collapsed="false">
      <c r="A18" s="2" t="s">
        <v>21</v>
      </c>
      <c r="B18" s="7" t="s">
        <v>22</v>
      </c>
      <c r="C18" s="7"/>
      <c r="D18" s="7"/>
      <c r="E18" s="7"/>
      <c r="F18" s="7"/>
    </row>
    <row r="20" customFormat="false" ht="15" hidden="false" customHeight="true" outlineLevel="0" collapsed="false">
      <c r="A20" s="8" t="s">
        <v>23</v>
      </c>
      <c r="B20" s="8"/>
      <c r="C20" s="8"/>
      <c r="D20" s="8"/>
      <c r="E20" s="8"/>
      <c r="F20" s="8"/>
    </row>
    <row r="21" customFormat="false" ht="39.75" hidden="false" customHeight="true" outlineLevel="0" collapsed="false">
      <c r="A21" s="9" t="s">
        <v>24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4" customFormat="false" ht="15" hidden="false" customHeight="true" outlineLevel="0" collapsed="false">
      <c r="A24" s="10" t="s">
        <v>25</v>
      </c>
      <c r="B24" s="10"/>
      <c r="C24" s="10"/>
      <c r="D24" s="10"/>
      <c r="E24" s="10"/>
      <c r="F24" s="10"/>
    </row>
    <row r="25" customFormat="false" ht="15" hidden="false" customHeight="true" outlineLevel="0" collapsed="false">
      <c r="A25" s="11" t="s">
        <v>26</v>
      </c>
      <c r="B25" s="11"/>
      <c r="C25" s="11"/>
      <c r="D25" s="11"/>
      <c r="E25" s="11"/>
      <c r="F25" s="11"/>
    </row>
    <row r="26" customFormat="false" ht="15" hidden="false" customHeight="true" outlineLevel="0" collapsed="false">
      <c r="A26" s="11" t="s">
        <v>27</v>
      </c>
      <c r="B26" s="11"/>
      <c r="C26" s="11"/>
      <c r="D26" s="11"/>
      <c r="E26" s="11"/>
      <c r="F26" s="11"/>
    </row>
    <row r="27" customFormat="false" ht="15" hidden="false" customHeight="true" outlineLevel="0" collapsed="false">
      <c r="A27" s="11" t="s">
        <v>28</v>
      </c>
      <c r="B27" s="11"/>
      <c r="C27" s="11"/>
      <c r="D27" s="11"/>
      <c r="E27" s="11"/>
      <c r="F27" s="11"/>
    </row>
    <row r="28" customFormat="false" ht="15" hidden="false" customHeight="true" outlineLevel="0" collapsed="false">
      <c r="A28" s="11" t="s">
        <v>29</v>
      </c>
      <c r="B28" s="11"/>
      <c r="C28" s="11"/>
      <c r="D28" s="11"/>
      <c r="E28" s="11"/>
      <c r="F28" s="11"/>
    </row>
    <row r="29" customFormat="false" ht="15" hidden="false" customHeight="true" outlineLevel="0" collapsed="false">
      <c r="A29" s="11" t="s">
        <v>30</v>
      </c>
      <c r="B29" s="11"/>
      <c r="C29" s="11"/>
      <c r="D29" s="11"/>
      <c r="E29" s="11"/>
      <c r="F29" s="11"/>
    </row>
  </sheetData>
  <mergeCells count="15">
    <mergeCell ref="A1:F3"/>
    <mergeCell ref="A13:F13"/>
    <mergeCell ref="B14:F14"/>
    <mergeCell ref="B15:F15"/>
    <mergeCell ref="B16:F16"/>
    <mergeCell ref="B17:F17"/>
    <mergeCell ref="B18:F18"/>
    <mergeCell ref="A20:F20"/>
    <mergeCell ref="A21:F22"/>
    <mergeCell ref="A24:F24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4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69.75" hidden="false" customHeight="true" outlineLevel="0" collapsed="false">
      <c r="A1" s="12" t="s">
        <v>31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.75" hidden="false" customHeight="true" outlineLevel="0" collapsed="false">
      <c r="A6" s="13" t="s">
        <v>32</v>
      </c>
      <c r="B6" s="14" t="s">
        <v>4</v>
      </c>
      <c r="C6" s="15" t="s">
        <v>5</v>
      </c>
      <c r="D6" s="16" t="s">
        <v>33</v>
      </c>
      <c r="E6" s="17" t="s">
        <v>34</v>
      </c>
      <c r="F6" s="18" t="s">
        <v>7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  <row r="8" customFormat="false" ht="79.85" hidden="false" customHeight="true" outlineLevel="0" collapsed="false">
      <c r="A8" s="19" t="s">
        <v>43</v>
      </c>
      <c r="B8" s="20" t="s">
        <v>44</v>
      </c>
      <c r="C8" s="21" t="s">
        <v>45</v>
      </c>
      <c r="D8" s="22" t="s">
        <v>46</v>
      </c>
      <c r="E8" s="22"/>
      <c r="F8" s="23" t="s">
        <v>33</v>
      </c>
      <c r="G8" s="22" t="s">
        <v>47</v>
      </c>
      <c r="H8" s="22" t="s">
        <v>48</v>
      </c>
    </row>
    <row r="9" customFormat="false" ht="135.8" hidden="false" customHeight="false" outlineLevel="0" collapsed="false">
      <c r="A9" s="19"/>
      <c r="B9" s="20" t="s">
        <v>49</v>
      </c>
      <c r="C9" s="21" t="s">
        <v>50</v>
      </c>
      <c r="D9" s="22"/>
      <c r="E9" s="22"/>
      <c r="F9" s="23" t="s">
        <v>33</v>
      </c>
      <c r="G9" s="22" t="s">
        <v>47</v>
      </c>
      <c r="H9" s="22" t="s">
        <v>51</v>
      </c>
    </row>
    <row r="10" customFormat="false" ht="79.85" hidden="false" customHeight="false" outlineLevel="0" collapsed="false">
      <c r="A10" s="19"/>
      <c r="B10" s="20" t="s">
        <v>52</v>
      </c>
      <c r="C10" s="21" t="s">
        <v>53</v>
      </c>
      <c r="D10" s="22" t="s">
        <v>54</v>
      </c>
      <c r="E10" s="22" t="s">
        <v>55</v>
      </c>
      <c r="F10" s="24" t="s">
        <v>4</v>
      </c>
      <c r="G10" s="22" t="s">
        <v>47</v>
      </c>
      <c r="H10" s="22" t="s">
        <v>56</v>
      </c>
    </row>
    <row r="11" customFormat="false" ht="113.4" hidden="false" customHeight="false" outlineLevel="0" collapsed="false">
      <c r="A11" s="19"/>
      <c r="B11" s="20" t="s">
        <v>57</v>
      </c>
      <c r="C11" s="21" t="s">
        <v>58</v>
      </c>
      <c r="D11" s="22" t="s">
        <v>54</v>
      </c>
      <c r="E11" s="22"/>
      <c r="F11" s="23" t="s">
        <v>33</v>
      </c>
      <c r="G11" s="22" t="s">
        <v>47</v>
      </c>
      <c r="H11" s="22" t="s">
        <v>48</v>
      </c>
    </row>
    <row r="12" customFormat="false" ht="46.25" hidden="false" customHeight="false" outlineLevel="0" collapsed="false">
      <c r="A12" s="19"/>
      <c r="B12" s="20" t="s">
        <v>59</v>
      </c>
      <c r="C12" s="21" t="s">
        <v>60</v>
      </c>
      <c r="D12" s="22" t="s">
        <v>46</v>
      </c>
      <c r="E12" s="22" t="s">
        <v>61</v>
      </c>
      <c r="F12" s="24" t="s">
        <v>4</v>
      </c>
      <c r="G12" s="22" t="s">
        <v>47</v>
      </c>
      <c r="H12" s="22" t="s">
        <v>51</v>
      </c>
    </row>
    <row r="13" customFormat="false" ht="135.8" hidden="false" customHeight="false" outlineLevel="0" collapsed="false">
      <c r="A13" s="19"/>
      <c r="B13" s="20" t="s">
        <v>62</v>
      </c>
      <c r="C13" s="21" t="s">
        <v>63</v>
      </c>
      <c r="D13" s="22" t="s">
        <v>54</v>
      </c>
      <c r="E13" s="22" t="s">
        <v>64</v>
      </c>
      <c r="F13" s="24" t="s">
        <v>4</v>
      </c>
      <c r="G13" s="22" t="s">
        <v>47</v>
      </c>
      <c r="H13" s="22" t="s">
        <v>65</v>
      </c>
    </row>
    <row r="14" customFormat="false" ht="113.4" hidden="false" customHeight="false" outlineLevel="0" collapsed="false">
      <c r="A14" s="19"/>
      <c r="B14" s="20" t="s">
        <v>66</v>
      </c>
      <c r="C14" s="21" t="s">
        <v>67</v>
      </c>
      <c r="D14" s="22" t="s">
        <v>54</v>
      </c>
      <c r="E14" s="22" t="s">
        <v>64</v>
      </c>
      <c r="F14" s="24" t="s">
        <v>4</v>
      </c>
      <c r="G14" s="22" t="s">
        <v>47</v>
      </c>
      <c r="H14" s="22" t="s">
        <v>65</v>
      </c>
    </row>
    <row r="15" customFormat="false" ht="79.85" hidden="false" customHeight="false" outlineLevel="0" collapsed="false">
      <c r="A15" s="19"/>
      <c r="B15" s="20" t="s">
        <v>68</v>
      </c>
      <c r="C15" s="21" t="s">
        <v>69</v>
      </c>
      <c r="D15" s="22" t="s">
        <v>55</v>
      </c>
      <c r="E15" s="22"/>
      <c r="F15" s="23" t="s">
        <v>33</v>
      </c>
      <c r="G15" s="22" t="s">
        <v>47</v>
      </c>
      <c r="H15" s="22" t="s">
        <v>70</v>
      </c>
    </row>
    <row r="16" customFormat="false" ht="68.65" hidden="false" customHeight="false" outlineLevel="0" collapsed="false">
      <c r="A16" s="19"/>
      <c r="B16" s="20" t="s">
        <v>71</v>
      </c>
      <c r="C16" s="21" t="s">
        <v>72</v>
      </c>
      <c r="D16" s="22"/>
      <c r="E16" s="22"/>
      <c r="F16" s="23" t="s">
        <v>33</v>
      </c>
      <c r="G16" s="22" t="s">
        <v>47</v>
      </c>
      <c r="H16" s="22"/>
    </row>
    <row r="17" customFormat="false" ht="79.85" hidden="false" customHeight="true" outlineLevel="0" collapsed="false">
      <c r="A17" s="25" t="s">
        <v>73</v>
      </c>
      <c r="B17" s="20" t="s">
        <v>74</v>
      </c>
      <c r="C17" s="21" t="s">
        <v>75</v>
      </c>
      <c r="D17" s="22" t="s">
        <v>76</v>
      </c>
      <c r="E17" s="22"/>
      <c r="F17" s="23" t="s">
        <v>33</v>
      </c>
      <c r="G17" s="22" t="s">
        <v>47</v>
      </c>
      <c r="H17" s="22" t="s">
        <v>70</v>
      </c>
    </row>
    <row r="18" customFormat="false" ht="46.25" hidden="false" customHeight="false" outlineLevel="0" collapsed="false">
      <c r="A18" s="25"/>
      <c r="B18" s="20" t="s">
        <v>77</v>
      </c>
      <c r="C18" s="21" t="s">
        <v>78</v>
      </c>
      <c r="D18" s="22" t="s">
        <v>79</v>
      </c>
      <c r="E18" s="22"/>
      <c r="F18" s="23" t="s">
        <v>33</v>
      </c>
      <c r="G18" s="22" t="s">
        <v>47</v>
      </c>
      <c r="H18" s="22"/>
    </row>
    <row r="19" customFormat="false" ht="57.45" hidden="false" customHeight="false" outlineLevel="0" collapsed="false">
      <c r="A19" s="25"/>
      <c r="B19" s="20" t="s">
        <v>80</v>
      </c>
      <c r="C19" s="21" t="s">
        <v>81</v>
      </c>
      <c r="D19" s="22" t="s">
        <v>82</v>
      </c>
      <c r="E19" s="22"/>
      <c r="F19" s="26" t="s">
        <v>7</v>
      </c>
      <c r="G19" s="22"/>
      <c r="H19" s="22"/>
    </row>
    <row r="20" customFormat="false" ht="79.85" hidden="false" customHeight="true" outlineLevel="0" collapsed="false">
      <c r="A20" s="27" t="s">
        <v>83</v>
      </c>
      <c r="B20" s="20" t="s">
        <v>84</v>
      </c>
      <c r="C20" s="21" t="s">
        <v>85</v>
      </c>
      <c r="D20" s="22"/>
      <c r="E20" s="22"/>
      <c r="F20" s="28" t="s">
        <v>5</v>
      </c>
      <c r="G20" s="22" t="s">
        <v>47</v>
      </c>
      <c r="H20" s="22"/>
    </row>
    <row r="21" customFormat="false" ht="57.45" hidden="false" customHeight="false" outlineLevel="0" collapsed="false">
      <c r="A21" s="27"/>
      <c r="B21" s="20" t="s">
        <v>86</v>
      </c>
      <c r="C21" s="21" t="s">
        <v>87</v>
      </c>
      <c r="D21" s="22"/>
      <c r="E21" s="22"/>
      <c r="F21" s="24" t="s">
        <v>4</v>
      </c>
      <c r="G21" s="22" t="s">
        <v>47</v>
      </c>
      <c r="H21" s="22"/>
    </row>
    <row r="22" customFormat="false" ht="35.05" hidden="false" customHeight="false" outlineLevel="0" collapsed="false">
      <c r="A22" s="27"/>
      <c r="B22" s="20" t="s">
        <v>88</v>
      </c>
      <c r="C22" s="21" t="s">
        <v>89</v>
      </c>
      <c r="D22" s="22"/>
      <c r="E22" s="22"/>
      <c r="F22" s="24" t="s">
        <v>4</v>
      </c>
      <c r="G22" s="22" t="s">
        <v>47</v>
      </c>
      <c r="H22" s="22"/>
    </row>
    <row r="23" customFormat="false" ht="15" hidden="false" customHeight="false" outlineLevel="0" collapsed="false">
      <c r="A23" s="27"/>
      <c r="B23" s="20" t="s">
        <v>90</v>
      </c>
      <c r="C23" s="21" t="s">
        <v>91</v>
      </c>
      <c r="D23" s="22"/>
      <c r="E23" s="22"/>
      <c r="F23" s="26" t="s">
        <v>7</v>
      </c>
      <c r="G23" s="22"/>
      <c r="H23" s="22"/>
    </row>
    <row r="24" customFormat="false" ht="46.25" hidden="false" customHeight="false" outlineLevel="0" collapsed="false">
      <c r="A24" s="27"/>
      <c r="B24" s="20" t="s">
        <v>92</v>
      </c>
      <c r="C24" s="21" t="s">
        <v>93</v>
      </c>
      <c r="D24" s="22"/>
      <c r="E24" s="22"/>
      <c r="F24" s="23" t="s">
        <v>33</v>
      </c>
      <c r="G24" s="22" t="s">
        <v>47</v>
      </c>
      <c r="H24" s="22"/>
    </row>
    <row r="25" customFormat="false" ht="23.85" hidden="false" customHeight="false" outlineLevel="0" collapsed="false">
      <c r="A25" s="27"/>
      <c r="B25" s="20" t="s">
        <v>94</v>
      </c>
      <c r="C25" s="21" t="s">
        <v>95</v>
      </c>
      <c r="D25" s="22"/>
      <c r="E25" s="22"/>
      <c r="F25" s="26" t="s">
        <v>7</v>
      </c>
      <c r="G25" s="22"/>
      <c r="H25" s="22"/>
    </row>
    <row r="26" customFormat="false" ht="113.4" hidden="false" customHeight="false" outlineLevel="0" collapsed="false">
      <c r="A26" s="27"/>
      <c r="B26" s="20" t="s">
        <v>96</v>
      </c>
      <c r="C26" s="21" t="s">
        <v>97</v>
      </c>
      <c r="D26" s="22"/>
      <c r="E26" s="22"/>
      <c r="F26" s="29" t="s">
        <v>34</v>
      </c>
      <c r="G26" s="22" t="s">
        <v>47</v>
      </c>
      <c r="H26" s="22"/>
    </row>
    <row r="27" customFormat="false" ht="91" hidden="false" customHeight="false" outlineLevel="0" collapsed="false">
      <c r="A27" s="27"/>
      <c r="B27" s="20" t="s">
        <v>98</v>
      </c>
      <c r="C27" s="21" t="s">
        <v>99</v>
      </c>
      <c r="D27" s="22"/>
      <c r="E27" s="22"/>
      <c r="F27" s="28" t="s">
        <v>5</v>
      </c>
      <c r="G27" s="22" t="s">
        <v>47</v>
      </c>
      <c r="H27" s="22"/>
    </row>
    <row r="28" customFormat="false" ht="15" hidden="false" customHeight="true" outlineLevel="0" collapsed="false">
      <c r="A28" s="30" t="s">
        <v>100</v>
      </c>
      <c r="B28" s="20" t="s">
        <v>101</v>
      </c>
      <c r="C28" s="21" t="s">
        <v>102</v>
      </c>
      <c r="D28" s="22"/>
      <c r="E28" s="22"/>
      <c r="F28" s="26" t="s">
        <v>7</v>
      </c>
      <c r="G28" s="22"/>
      <c r="H28" s="22"/>
    </row>
    <row r="29" customFormat="false" ht="46.25" hidden="false" customHeight="false" outlineLevel="0" collapsed="false">
      <c r="A29" s="30"/>
      <c r="B29" s="20" t="s">
        <v>103</v>
      </c>
      <c r="C29" s="21" t="s">
        <v>104</v>
      </c>
      <c r="D29" s="22"/>
      <c r="E29" s="22"/>
      <c r="F29" s="24" t="s">
        <v>4</v>
      </c>
      <c r="G29" s="22" t="s">
        <v>47</v>
      </c>
      <c r="H29" s="22"/>
    </row>
    <row r="30" customFormat="false" ht="79.85" hidden="false" customHeight="false" outlineLevel="0" collapsed="false">
      <c r="A30" s="30"/>
      <c r="B30" s="20" t="s">
        <v>105</v>
      </c>
      <c r="C30" s="21" t="s">
        <v>106</v>
      </c>
      <c r="D30" s="22"/>
      <c r="E30" s="22"/>
      <c r="F30" s="23" t="s">
        <v>33</v>
      </c>
      <c r="G30" s="22" t="s">
        <v>47</v>
      </c>
      <c r="H30" s="22"/>
    </row>
    <row r="31" customFormat="false" ht="23.85" hidden="false" customHeight="false" outlineLevel="0" collapsed="false">
      <c r="A31" s="30"/>
      <c r="B31" s="20" t="s">
        <v>107</v>
      </c>
      <c r="C31" s="21" t="s">
        <v>108</v>
      </c>
      <c r="D31" s="22"/>
      <c r="E31" s="22"/>
      <c r="F31" s="26" t="s">
        <v>7</v>
      </c>
      <c r="G31" s="22"/>
      <c r="H31" s="22"/>
    </row>
    <row r="32" customFormat="false" ht="23.85" hidden="false" customHeight="false" outlineLevel="0" collapsed="false">
      <c r="A32" s="30"/>
      <c r="B32" s="20" t="s">
        <v>109</v>
      </c>
      <c r="C32" s="21" t="s">
        <v>110</v>
      </c>
      <c r="D32" s="22"/>
      <c r="E32" s="22"/>
      <c r="F32" s="26" t="s">
        <v>7</v>
      </c>
      <c r="G32" s="22"/>
      <c r="H32" s="22"/>
    </row>
    <row r="33" customFormat="false" ht="35.05" hidden="false" customHeight="true" outlineLevel="0" collapsed="false">
      <c r="A33" s="31" t="s">
        <v>111</v>
      </c>
      <c r="B33" s="20" t="s">
        <v>112</v>
      </c>
      <c r="C33" s="21" t="s">
        <v>113</v>
      </c>
      <c r="D33" s="22"/>
      <c r="E33" s="22"/>
      <c r="F33" s="24" t="s">
        <v>4</v>
      </c>
      <c r="G33" s="22" t="s">
        <v>47</v>
      </c>
      <c r="H33" s="22"/>
    </row>
    <row r="34" customFormat="false" ht="46.25" hidden="false" customHeight="false" outlineLevel="0" collapsed="false">
      <c r="A34" s="31"/>
      <c r="B34" s="20" t="s">
        <v>114</v>
      </c>
      <c r="C34" s="21" t="s">
        <v>115</v>
      </c>
      <c r="D34" s="22"/>
      <c r="E34" s="22"/>
      <c r="F34" s="26" t="s">
        <v>7</v>
      </c>
      <c r="G34" s="22"/>
      <c r="H34" s="22"/>
    </row>
    <row r="35" customFormat="false" ht="23.85" hidden="false" customHeight="false" outlineLevel="0" collapsed="false">
      <c r="A35" s="31"/>
      <c r="B35" s="20" t="s">
        <v>116</v>
      </c>
      <c r="C35" s="21" t="s">
        <v>117</v>
      </c>
      <c r="D35" s="22"/>
      <c r="E35" s="22"/>
      <c r="F35" s="26" t="s">
        <v>7</v>
      </c>
      <c r="G35" s="22"/>
      <c r="H35" s="22"/>
    </row>
    <row r="36" customFormat="false" ht="23.85" hidden="false" customHeight="false" outlineLevel="0" collapsed="false">
      <c r="A36" s="31"/>
      <c r="B36" s="20" t="s">
        <v>118</v>
      </c>
      <c r="C36" s="21" t="s">
        <v>119</v>
      </c>
      <c r="D36" s="22"/>
      <c r="E36" s="22"/>
      <c r="F36" s="26" t="s">
        <v>7</v>
      </c>
      <c r="G36" s="22"/>
      <c r="H36" s="22"/>
    </row>
    <row r="37" customFormat="false" ht="23.85" hidden="false" customHeight="true" outlineLevel="0" collapsed="false">
      <c r="A37" s="32" t="s">
        <v>120</v>
      </c>
      <c r="B37" s="33" t="s">
        <v>121</v>
      </c>
      <c r="C37" s="34"/>
      <c r="D37" s="35"/>
      <c r="E37" s="35"/>
      <c r="F37" s="35"/>
      <c r="G37" s="35"/>
      <c r="H37" s="35"/>
    </row>
    <row r="38" customFormat="false" ht="23.85" hidden="false" customHeight="false" outlineLevel="0" collapsed="false">
      <c r="A38" s="32"/>
      <c r="B38" s="33" t="s">
        <v>122</v>
      </c>
      <c r="C38" s="34"/>
      <c r="D38" s="35"/>
      <c r="E38" s="35"/>
      <c r="F38" s="35"/>
      <c r="G38" s="35"/>
      <c r="H38" s="35"/>
    </row>
    <row r="39" customFormat="false" ht="35.05" hidden="false" customHeight="false" outlineLevel="0" collapsed="false">
      <c r="A39" s="32"/>
      <c r="B39" s="33" t="s">
        <v>123</v>
      </c>
      <c r="C39" s="34"/>
      <c r="D39" s="35"/>
      <c r="E39" s="35"/>
      <c r="F39" s="35"/>
      <c r="G39" s="35"/>
      <c r="H39" s="35"/>
    </row>
    <row r="40" customFormat="false" ht="23.85" hidden="false" customHeight="false" outlineLevel="0" collapsed="false">
      <c r="A40" s="32"/>
      <c r="B40" s="33" t="s">
        <v>124</v>
      </c>
      <c r="C40" s="34"/>
      <c r="D40" s="35"/>
      <c r="E40" s="35"/>
      <c r="F40" s="35"/>
      <c r="G40" s="35"/>
      <c r="H40" s="35"/>
    </row>
    <row r="41" customFormat="false" ht="23.85" hidden="false" customHeight="false" outlineLevel="0" collapsed="false">
      <c r="A41" s="32"/>
      <c r="B41" s="33" t="s">
        <v>125</v>
      </c>
      <c r="C41" s="34"/>
      <c r="D41" s="35"/>
      <c r="E41" s="35"/>
      <c r="F41" s="35"/>
      <c r="G41" s="35"/>
      <c r="H41" s="35"/>
    </row>
    <row r="42" customFormat="false" ht="46.25" hidden="false" customHeight="false" outlineLevel="0" collapsed="false">
      <c r="A42" s="32"/>
      <c r="B42" s="33" t="s">
        <v>126</v>
      </c>
      <c r="C42" s="34" t="s">
        <v>127</v>
      </c>
      <c r="D42" s="35"/>
      <c r="E42" s="35"/>
      <c r="F42" s="35"/>
      <c r="G42" s="35"/>
      <c r="H42" s="35"/>
    </row>
  </sheetData>
  <mergeCells count="7">
    <mergeCell ref="A1:H5"/>
    <mergeCell ref="A8:A16"/>
    <mergeCell ref="A17:A19"/>
    <mergeCell ref="A20:A27"/>
    <mergeCell ref="A28:A32"/>
    <mergeCell ref="A33:A36"/>
    <mergeCell ref="A37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4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69.75" hidden="false" customHeight="true" outlineLevel="0" collapsed="false">
      <c r="A1" s="12" t="s">
        <v>128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.75" hidden="false" customHeight="true" outlineLevel="0" collapsed="false">
      <c r="A6" s="13" t="s">
        <v>32</v>
      </c>
      <c r="B6" s="14" t="s">
        <v>4</v>
      </c>
      <c r="C6" s="15" t="s">
        <v>5</v>
      </c>
      <c r="D6" s="16" t="s">
        <v>33</v>
      </c>
      <c r="E6" s="17" t="s">
        <v>34</v>
      </c>
      <c r="F6" s="18" t="s">
        <v>7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  <row r="8" customFormat="false" ht="23.85" hidden="false" customHeight="true" outlineLevel="0" collapsed="false">
      <c r="A8" s="19" t="s">
        <v>43</v>
      </c>
      <c r="B8" s="20" t="s">
        <v>44</v>
      </c>
      <c r="C8" s="21" t="s">
        <v>129</v>
      </c>
      <c r="D8" s="22"/>
      <c r="E8" s="22"/>
      <c r="F8" s="26" t="s">
        <v>7</v>
      </c>
      <c r="G8" s="22" t="s">
        <v>47</v>
      </c>
      <c r="H8" s="22" t="s">
        <v>48</v>
      </c>
    </row>
    <row r="9" customFormat="false" ht="35.05" hidden="false" customHeight="false" outlineLevel="0" collapsed="false">
      <c r="A9" s="19"/>
      <c r="B9" s="20" t="s">
        <v>49</v>
      </c>
      <c r="C9" s="21" t="s">
        <v>130</v>
      </c>
      <c r="D9" s="22"/>
      <c r="E9" s="22"/>
      <c r="F9" s="26" t="s">
        <v>7</v>
      </c>
      <c r="G9" s="22" t="s">
        <v>47</v>
      </c>
      <c r="H9" s="22" t="s">
        <v>51</v>
      </c>
    </row>
    <row r="10" customFormat="false" ht="35.05" hidden="false" customHeight="false" outlineLevel="0" collapsed="false">
      <c r="A10" s="19"/>
      <c r="B10" s="20" t="s">
        <v>52</v>
      </c>
      <c r="C10" s="21" t="s">
        <v>131</v>
      </c>
      <c r="D10" s="22"/>
      <c r="E10" s="22"/>
      <c r="F10" s="26" t="s">
        <v>7</v>
      </c>
      <c r="G10" s="22" t="s">
        <v>47</v>
      </c>
      <c r="H10" s="22" t="s">
        <v>56</v>
      </c>
    </row>
    <row r="11" customFormat="false" ht="35.05" hidden="false" customHeight="false" outlineLevel="0" collapsed="false">
      <c r="A11" s="19"/>
      <c r="B11" s="20" t="s">
        <v>57</v>
      </c>
      <c r="C11" s="21" t="s">
        <v>132</v>
      </c>
      <c r="D11" s="22"/>
      <c r="E11" s="22"/>
      <c r="F11" s="26" t="s">
        <v>7</v>
      </c>
      <c r="G11" s="22" t="s">
        <v>47</v>
      </c>
      <c r="H11" s="22" t="s">
        <v>48</v>
      </c>
    </row>
    <row r="12" customFormat="false" ht="46.25" hidden="false" customHeight="false" outlineLevel="0" collapsed="false">
      <c r="A12" s="19"/>
      <c r="B12" s="20" t="s">
        <v>59</v>
      </c>
      <c r="C12" s="21" t="s">
        <v>60</v>
      </c>
      <c r="D12" s="22"/>
      <c r="E12" s="22"/>
      <c r="F12" s="26" t="s">
        <v>7</v>
      </c>
      <c r="G12" s="22" t="s">
        <v>47</v>
      </c>
      <c r="H12" s="22" t="s">
        <v>51</v>
      </c>
    </row>
    <row r="13" customFormat="false" ht="35.05" hidden="false" customHeight="false" outlineLevel="0" collapsed="false">
      <c r="A13" s="19"/>
      <c r="B13" s="20" t="s">
        <v>62</v>
      </c>
      <c r="C13" s="21" t="s">
        <v>133</v>
      </c>
      <c r="D13" s="22"/>
      <c r="E13" s="22"/>
      <c r="F13" s="26" t="s">
        <v>7</v>
      </c>
      <c r="G13" s="22" t="s">
        <v>47</v>
      </c>
      <c r="H13" s="22" t="s">
        <v>65</v>
      </c>
    </row>
    <row r="14" customFormat="false" ht="35.05" hidden="false" customHeight="false" outlineLevel="0" collapsed="false">
      <c r="A14" s="19"/>
      <c r="B14" s="20" t="s">
        <v>66</v>
      </c>
      <c r="C14" s="21" t="s">
        <v>134</v>
      </c>
      <c r="D14" s="22"/>
      <c r="E14" s="22"/>
      <c r="F14" s="26" t="s">
        <v>7</v>
      </c>
      <c r="G14" s="22" t="s">
        <v>47</v>
      </c>
      <c r="H14" s="22" t="s">
        <v>65</v>
      </c>
    </row>
    <row r="15" customFormat="false" ht="46.25" hidden="false" customHeight="false" outlineLevel="0" collapsed="false">
      <c r="A15" s="19"/>
      <c r="B15" s="20" t="s">
        <v>68</v>
      </c>
      <c r="C15" s="21" t="s">
        <v>135</v>
      </c>
      <c r="D15" s="22"/>
      <c r="E15" s="22"/>
      <c r="F15" s="26" t="s">
        <v>7</v>
      </c>
      <c r="G15" s="22" t="s">
        <v>47</v>
      </c>
      <c r="H15" s="22" t="s">
        <v>70</v>
      </c>
    </row>
    <row r="16" customFormat="false" ht="35.05" hidden="false" customHeight="false" outlineLevel="0" collapsed="false">
      <c r="A16" s="19"/>
      <c r="B16" s="20" t="s">
        <v>71</v>
      </c>
      <c r="C16" s="21" t="s">
        <v>136</v>
      </c>
      <c r="D16" s="22"/>
      <c r="E16" s="22"/>
      <c r="F16" s="26" t="s">
        <v>7</v>
      </c>
      <c r="G16" s="22" t="s">
        <v>47</v>
      </c>
      <c r="H16" s="22"/>
    </row>
    <row r="17" customFormat="false" ht="46.25" hidden="false" customHeight="true" outlineLevel="0" collapsed="false">
      <c r="A17" s="25" t="s">
        <v>73</v>
      </c>
      <c r="B17" s="20" t="s">
        <v>74</v>
      </c>
      <c r="C17" s="21" t="s">
        <v>137</v>
      </c>
      <c r="D17" s="22"/>
      <c r="E17" s="22"/>
      <c r="F17" s="26" t="s">
        <v>7</v>
      </c>
      <c r="G17" s="22" t="s">
        <v>47</v>
      </c>
      <c r="H17" s="22" t="s">
        <v>70</v>
      </c>
    </row>
    <row r="18" customFormat="false" ht="46.25" hidden="false" customHeight="false" outlineLevel="0" collapsed="false">
      <c r="A18" s="25"/>
      <c r="B18" s="20" t="s">
        <v>77</v>
      </c>
      <c r="C18" s="21" t="s">
        <v>78</v>
      </c>
      <c r="D18" s="22"/>
      <c r="E18" s="22"/>
      <c r="F18" s="26" t="s">
        <v>7</v>
      </c>
      <c r="G18" s="22" t="s">
        <v>47</v>
      </c>
      <c r="H18" s="22"/>
    </row>
    <row r="19" customFormat="false" ht="57.45" hidden="false" customHeight="false" outlineLevel="0" collapsed="false">
      <c r="A19" s="25"/>
      <c r="B19" s="20" t="s">
        <v>80</v>
      </c>
      <c r="C19" s="21" t="s">
        <v>81</v>
      </c>
      <c r="D19" s="22"/>
      <c r="E19" s="22"/>
      <c r="F19" s="26" t="s">
        <v>7</v>
      </c>
      <c r="G19" s="22"/>
      <c r="H19" s="22"/>
    </row>
    <row r="20" customFormat="false" ht="35.05" hidden="false" customHeight="true" outlineLevel="0" collapsed="false">
      <c r="A20" s="27" t="s">
        <v>83</v>
      </c>
      <c r="B20" s="20" t="s">
        <v>84</v>
      </c>
      <c r="C20" s="21" t="s">
        <v>138</v>
      </c>
      <c r="D20" s="22"/>
      <c r="E20" s="22"/>
      <c r="F20" s="26" t="s">
        <v>7</v>
      </c>
      <c r="G20" s="22" t="s">
        <v>47</v>
      </c>
      <c r="H20" s="22"/>
    </row>
    <row r="21" customFormat="false" ht="23.85" hidden="false" customHeight="false" outlineLevel="0" collapsed="false">
      <c r="A21" s="27"/>
      <c r="B21" s="20" t="s">
        <v>86</v>
      </c>
      <c r="C21" s="21" t="s">
        <v>139</v>
      </c>
      <c r="D21" s="22"/>
      <c r="E21" s="22"/>
      <c r="F21" s="26" t="s">
        <v>7</v>
      </c>
      <c r="G21" s="22" t="s">
        <v>47</v>
      </c>
      <c r="H21" s="22"/>
    </row>
    <row r="22" customFormat="false" ht="15" hidden="false" customHeight="false" outlineLevel="0" collapsed="false">
      <c r="A22" s="27"/>
      <c r="B22" s="20" t="s">
        <v>88</v>
      </c>
      <c r="C22" s="21" t="s">
        <v>140</v>
      </c>
      <c r="D22" s="22"/>
      <c r="E22" s="22"/>
      <c r="F22" s="26" t="s">
        <v>7</v>
      </c>
      <c r="G22" s="22" t="s">
        <v>47</v>
      </c>
      <c r="H22" s="22"/>
    </row>
    <row r="23" customFormat="false" ht="15" hidden="false" customHeight="false" outlineLevel="0" collapsed="false">
      <c r="A23" s="27"/>
      <c r="B23" s="20" t="s">
        <v>90</v>
      </c>
      <c r="C23" s="21" t="s">
        <v>91</v>
      </c>
      <c r="D23" s="22"/>
      <c r="E23" s="22"/>
      <c r="F23" s="26" t="s">
        <v>7</v>
      </c>
      <c r="G23" s="22"/>
      <c r="H23" s="22"/>
    </row>
    <row r="24" customFormat="false" ht="23.85" hidden="false" customHeight="false" outlineLevel="0" collapsed="false">
      <c r="A24" s="27"/>
      <c r="B24" s="20" t="s">
        <v>92</v>
      </c>
      <c r="C24" s="21" t="s">
        <v>141</v>
      </c>
      <c r="D24" s="22"/>
      <c r="E24" s="22"/>
      <c r="F24" s="26" t="s">
        <v>7</v>
      </c>
      <c r="G24" s="22" t="s">
        <v>47</v>
      </c>
      <c r="H24" s="22"/>
    </row>
    <row r="25" customFormat="false" ht="23.85" hidden="false" customHeight="false" outlineLevel="0" collapsed="false">
      <c r="A25" s="27"/>
      <c r="B25" s="20" t="s">
        <v>94</v>
      </c>
      <c r="C25" s="21" t="s">
        <v>95</v>
      </c>
      <c r="D25" s="22"/>
      <c r="E25" s="22"/>
      <c r="F25" s="26" t="s">
        <v>7</v>
      </c>
      <c r="G25" s="22"/>
      <c r="H25" s="22"/>
    </row>
    <row r="26" customFormat="false" ht="46.25" hidden="false" customHeight="false" outlineLevel="0" collapsed="false">
      <c r="A26" s="27"/>
      <c r="B26" s="20" t="s">
        <v>96</v>
      </c>
      <c r="C26" s="21" t="s">
        <v>142</v>
      </c>
      <c r="D26" s="22"/>
      <c r="E26" s="22"/>
      <c r="F26" s="26" t="s">
        <v>7</v>
      </c>
      <c r="G26" s="22" t="s">
        <v>47</v>
      </c>
      <c r="H26" s="22"/>
    </row>
    <row r="27" customFormat="false" ht="23.85" hidden="false" customHeight="false" outlineLevel="0" collapsed="false">
      <c r="A27" s="27"/>
      <c r="B27" s="20" t="s">
        <v>98</v>
      </c>
      <c r="C27" s="21" t="s">
        <v>143</v>
      </c>
      <c r="D27" s="22"/>
      <c r="E27" s="22"/>
      <c r="F27" s="26" t="s">
        <v>7</v>
      </c>
      <c r="G27" s="22" t="s">
        <v>47</v>
      </c>
      <c r="H27" s="22"/>
    </row>
    <row r="28" customFormat="false" ht="15" hidden="false" customHeight="true" outlineLevel="0" collapsed="false">
      <c r="A28" s="30" t="s">
        <v>100</v>
      </c>
      <c r="B28" s="20" t="s">
        <v>101</v>
      </c>
      <c r="C28" s="21" t="s">
        <v>102</v>
      </c>
      <c r="D28" s="22"/>
      <c r="E28" s="22"/>
      <c r="F28" s="26" t="s">
        <v>7</v>
      </c>
      <c r="G28" s="22"/>
      <c r="H28" s="22"/>
    </row>
    <row r="29" customFormat="false" ht="23.85" hidden="false" customHeight="false" outlineLevel="0" collapsed="false">
      <c r="A29" s="30"/>
      <c r="B29" s="20" t="s">
        <v>103</v>
      </c>
      <c r="C29" s="21" t="s">
        <v>144</v>
      </c>
      <c r="D29" s="22"/>
      <c r="E29" s="22"/>
      <c r="F29" s="26" t="s">
        <v>7</v>
      </c>
      <c r="G29" s="22" t="s">
        <v>47</v>
      </c>
      <c r="H29" s="22"/>
    </row>
    <row r="30" customFormat="false" ht="35.05" hidden="false" customHeight="false" outlineLevel="0" collapsed="false">
      <c r="A30" s="30"/>
      <c r="B30" s="20" t="s">
        <v>105</v>
      </c>
      <c r="C30" s="21" t="s">
        <v>145</v>
      </c>
      <c r="D30" s="22"/>
      <c r="E30" s="22"/>
      <c r="F30" s="26" t="s">
        <v>7</v>
      </c>
      <c r="G30" s="22" t="s">
        <v>47</v>
      </c>
      <c r="H30" s="22"/>
    </row>
    <row r="31" customFormat="false" ht="23.85" hidden="false" customHeight="false" outlineLevel="0" collapsed="false">
      <c r="A31" s="30"/>
      <c r="B31" s="20" t="s">
        <v>107</v>
      </c>
      <c r="C31" s="21" t="s">
        <v>108</v>
      </c>
      <c r="D31" s="22"/>
      <c r="E31" s="22"/>
      <c r="F31" s="26" t="s">
        <v>7</v>
      </c>
      <c r="G31" s="22"/>
      <c r="H31" s="22"/>
    </row>
    <row r="32" customFormat="false" ht="23.85" hidden="false" customHeight="false" outlineLevel="0" collapsed="false">
      <c r="A32" s="30"/>
      <c r="B32" s="20" t="s">
        <v>109</v>
      </c>
      <c r="C32" s="21" t="s">
        <v>110</v>
      </c>
      <c r="D32" s="22"/>
      <c r="E32" s="22"/>
      <c r="F32" s="26" t="s">
        <v>7</v>
      </c>
      <c r="G32" s="22"/>
      <c r="H32" s="22"/>
    </row>
    <row r="33" customFormat="false" ht="23.85" hidden="false" customHeight="true" outlineLevel="0" collapsed="false">
      <c r="A33" s="31" t="s">
        <v>111</v>
      </c>
      <c r="B33" s="20" t="s">
        <v>112</v>
      </c>
      <c r="C33" s="21" t="s">
        <v>146</v>
      </c>
      <c r="D33" s="22"/>
      <c r="E33" s="22"/>
      <c r="F33" s="26" t="s">
        <v>7</v>
      </c>
      <c r="G33" s="22" t="s">
        <v>47</v>
      </c>
      <c r="H33" s="22"/>
    </row>
    <row r="34" customFormat="false" ht="46.25" hidden="false" customHeight="false" outlineLevel="0" collapsed="false">
      <c r="A34" s="31"/>
      <c r="B34" s="20" t="s">
        <v>114</v>
      </c>
      <c r="C34" s="21" t="s">
        <v>115</v>
      </c>
      <c r="D34" s="22"/>
      <c r="E34" s="22"/>
      <c r="F34" s="26" t="s">
        <v>7</v>
      </c>
      <c r="G34" s="22"/>
      <c r="H34" s="22"/>
    </row>
    <row r="35" customFormat="false" ht="23.85" hidden="false" customHeight="false" outlineLevel="0" collapsed="false">
      <c r="A35" s="31"/>
      <c r="B35" s="20" t="s">
        <v>116</v>
      </c>
      <c r="C35" s="21" t="s">
        <v>117</v>
      </c>
      <c r="D35" s="22"/>
      <c r="E35" s="22"/>
      <c r="F35" s="26" t="s">
        <v>7</v>
      </c>
      <c r="G35" s="22"/>
      <c r="H35" s="22"/>
    </row>
    <row r="36" customFormat="false" ht="23.85" hidden="false" customHeight="false" outlineLevel="0" collapsed="false">
      <c r="A36" s="31"/>
      <c r="B36" s="20" t="s">
        <v>118</v>
      </c>
      <c r="C36" s="21" t="s">
        <v>119</v>
      </c>
      <c r="D36" s="22"/>
      <c r="E36" s="22"/>
      <c r="F36" s="26" t="s">
        <v>7</v>
      </c>
      <c r="G36" s="22"/>
      <c r="H36" s="22"/>
    </row>
    <row r="37" customFormat="false" ht="23.85" hidden="false" customHeight="true" outlineLevel="0" collapsed="false">
      <c r="A37" s="32" t="s">
        <v>120</v>
      </c>
      <c r="B37" s="33" t="s">
        <v>121</v>
      </c>
      <c r="C37" s="34"/>
      <c r="D37" s="35"/>
      <c r="E37" s="35"/>
      <c r="F37" s="35"/>
      <c r="G37" s="35"/>
      <c r="H37" s="35"/>
    </row>
    <row r="38" customFormat="false" ht="23.85" hidden="false" customHeight="false" outlineLevel="0" collapsed="false">
      <c r="A38" s="32"/>
      <c r="B38" s="33" t="s">
        <v>122</v>
      </c>
      <c r="C38" s="34"/>
      <c r="D38" s="35"/>
      <c r="E38" s="35"/>
      <c r="F38" s="35"/>
      <c r="G38" s="35"/>
      <c r="H38" s="35"/>
    </row>
    <row r="39" customFormat="false" ht="35.05" hidden="false" customHeight="false" outlineLevel="0" collapsed="false">
      <c r="A39" s="32"/>
      <c r="B39" s="33" t="s">
        <v>123</v>
      </c>
      <c r="C39" s="34"/>
      <c r="D39" s="35"/>
      <c r="E39" s="35"/>
      <c r="F39" s="35"/>
      <c r="G39" s="35"/>
      <c r="H39" s="35"/>
    </row>
    <row r="40" customFormat="false" ht="23.85" hidden="false" customHeight="false" outlineLevel="0" collapsed="false">
      <c r="A40" s="32"/>
      <c r="B40" s="33" t="s">
        <v>124</v>
      </c>
      <c r="C40" s="34"/>
      <c r="D40" s="35"/>
      <c r="E40" s="35"/>
      <c r="F40" s="35"/>
      <c r="G40" s="35"/>
      <c r="H40" s="35"/>
    </row>
    <row r="41" customFormat="false" ht="23.85" hidden="false" customHeight="false" outlineLevel="0" collapsed="false">
      <c r="A41" s="32"/>
      <c r="B41" s="33" t="s">
        <v>125</v>
      </c>
      <c r="C41" s="34"/>
      <c r="D41" s="35"/>
      <c r="E41" s="35"/>
      <c r="F41" s="35"/>
      <c r="G41" s="35"/>
      <c r="H41" s="35"/>
    </row>
    <row r="42" customFormat="false" ht="46.25" hidden="false" customHeight="false" outlineLevel="0" collapsed="false">
      <c r="A42" s="32"/>
      <c r="B42" s="33" t="s">
        <v>126</v>
      </c>
      <c r="C42" s="34" t="s">
        <v>127</v>
      </c>
      <c r="D42" s="35"/>
      <c r="E42" s="35"/>
      <c r="F42" s="35"/>
      <c r="G42" s="35"/>
      <c r="H42" s="35"/>
    </row>
  </sheetData>
  <mergeCells count="7">
    <mergeCell ref="A1:H5"/>
    <mergeCell ref="A8:A16"/>
    <mergeCell ref="A17:A19"/>
    <mergeCell ref="A20:A27"/>
    <mergeCell ref="A28:A32"/>
    <mergeCell ref="A33:A36"/>
    <mergeCell ref="A37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4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69.75" hidden="false" customHeight="true" outlineLevel="0" collapsed="false">
      <c r="A1" s="12" t="s">
        <v>147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.75" hidden="false" customHeight="true" outlineLevel="0" collapsed="false">
      <c r="A6" s="13" t="s">
        <v>32</v>
      </c>
      <c r="B6" s="14" t="s">
        <v>4</v>
      </c>
      <c r="C6" s="15" t="s">
        <v>5</v>
      </c>
      <c r="D6" s="16" t="s">
        <v>33</v>
      </c>
      <c r="E6" s="17" t="s">
        <v>34</v>
      </c>
      <c r="F6" s="18" t="s">
        <v>7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  <row r="8" customFormat="false" ht="23.85" hidden="false" customHeight="true" outlineLevel="0" collapsed="false">
      <c r="A8" s="19" t="s">
        <v>43</v>
      </c>
      <c r="B8" s="20" t="s">
        <v>44</v>
      </c>
      <c r="C8" s="21" t="s">
        <v>129</v>
      </c>
      <c r="D8" s="22"/>
      <c r="E8" s="22"/>
      <c r="F8" s="26" t="s">
        <v>7</v>
      </c>
      <c r="G8" s="22" t="s">
        <v>47</v>
      </c>
      <c r="H8" s="22" t="s">
        <v>48</v>
      </c>
    </row>
    <row r="9" customFormat="false" ht="35.05" hidden="false" customHeight="false" outlineLevel="0" collapsed="false">
      <c r="A9" s="19"/>
      <c r="B9" s="20" t="s">
        <v>49</v>
      </c>
      <c r="C9" s="21" t="s">
        <v>130</v>
      </c>
      <c r="D9" s="22"/>
      <c r="E9" s="22"/>
      <c r="F9" s="26" t="s">
        <v>7</v>
      </c>
      <c r="G9" s="22" t="s">
        <v>47</v>
      </c>
      <c r="H9" s="22" t="s">
        <v>51</v>
      </c>
    </row>
    <row r="10" customFormat="false" ht="35.05" hidden="false" customHeight="false" outlineLevel="0" collapsed="false">
      <c r="A10" s="19"/>
      <c r="B10" s="20" t="s">
        <v>52</v>
      </c>
      <c r="C10" s="21" t="s">
        <v>131</v>
      </c>
      <c r="D10" s="22"/>
      <c r="E10" s="22"/>
      <c r="F10" s="26" t="s">
        <v>7</v>
      </c>
      <c r="G10" s="22" t="s">
        <v>47</v>
      </c>
      <c r="H10" s="22" t="s">
        <v>56</v>
      </c>
    </row>
    <row r="11" customFormat="false" ht="35.05" hidden="false" customHeight="false" outlineLevel="0" collapsed="false">
      <c r="A11" s="19"/>
      <c r="B11" s="20" t="s">
        <v>57</v>
      </c>
      <c r="C11" s="21" t="s">
        <v>132</v>
      </c>
      <c r="D11" s="22"/>
      <c r="E11" s="22"/>
      <c r="F11" s="26" t="s">
        <v>7</v>
      </c>
      <c r="G11" s="22" t="s">
        <v>47</v>
      </c>
      <c r="H11" s="22" t="s">
        <v>48</v>
      </c>
    </row>
    <row r="12" customFormat="false" ht="46.25" hidden="false" customHeight="false" outlineLevel="0" collapsed="false">
      <c r="A12" s="19"/>
      <c r="B12" s="20" t="s">
        <v>59</v>
      </c>
      <c r="C12" s="21" t="s">
        <v>60</v>
      </c>
      <c r="D12" s="22"/>
      <c r="E12" s="22"/>
      <c r="F12" s="26" t="s">
        <v>7</v>
      </c>
      <c r="G12" s="22" t="s">
        <v>47</v>
      </c>
      <c r="H12" s="22" t="s">
        <v>51</v>
      </c>
    </row>
    <row r="13" customFormat="false" ht="35.05" hidden="false" customHeight="false" outlineLevel="0" collapsed="false">
      <c r="A13" s="19"/>
      <c r="B13" s="20" t="s">
        <v>62</v>
      </c>
      <c r="C13" s="21" t="s">
        <v>133</v>
      </c>
      <c r="D13" s="22"/>
      <c r="E13" s="22"/>
      <c r="F13" s="26" t="s">
        <v>7</v>
      </c>
      <c r="G13" s="22" t="s">
        <v>47</v>
      </c>
      <c r="H13" s="22" t="s">
        <v>65</v>
      </c>
    </row>
    <row r="14" customFormat="false" ht="35.05" hidden="false" customHeight="false" outlineLevel="0" collapsed="false">
      <c r="A14" s="19"/>
      <c r="B14" s="20" t="s">
        <v>66</v>
      </c>
      <c r="C14" s="21" t="s">
        <v>134</v>
      </c>
      <c r="D14" s="22"/>
      <c r="E14" s="22"/>
      <c r="F14" s="26" t="s">
        <v>7</v>
      </c>
      <c r="G14" s="22" t="s">
        <v>47</v>
      </c>
      <c r="H14" s="22" t="s">
        <v>65</v>
      </c>
    </row>
    <row r="15" customFormat="false" ht="46.25" hidden="false" customHeight="false" outlineLevel="0" collapsed="false">
      <c r="A15" s="19"/>
      <c r="B15" s="20" t="s">
        <v>68</v>
      </c>
      <c r="C15" s="21" t="s">
        <v>135</v>
      </c>
      <c r="D15" s="22"/>
      <c r="E15" s="22"/>
      <c r="F15" s="26" t="s">
        <v>7</v>
      </c>
      <c r="G15" s="22" t="s">
        <v>47</v>
      </c>
      <c r="H15" s="22" t="s">
        <v>70</v>
      </c>
    </row>
    <row r="16" customFormat="false" ht="35.05" hidden="false" customHeight="false" outlineLevel="0" collapsed="false">
      <c r="A16" s="19"/>
      <c r="B16" s="20" t="s">
        <v>71</v>
      </c>
      <c r="C16" s="21" t="s">
        <v>136</v>
      </c>
      <c r="D16" s="22"/>
      <c r="E16" s="22"/>
      <c r="F16" s="26" t="s">
        <v>7</v>
      </c>
      <c r="G16" s="22" t="s">
        <v>47</v>
      </c>
      <c r="H16" s="22"/>
    </row>
    <row r="17" customFormat="false" ht="46.25" hidden="false" customHeight="true" outlineLevel="0" collapsed="false">
      <c r="A17" s="25" t="s">
        <v>73</v>
      </c>
      <c r="B17" s="20" t="s">
        <v>74</v>
      </c>
      <c r="C17" s="21" t="s">
        <v>137</v>
      </c>
      <c r="D17" s="22"/>
      <c r="E17" s="22"/>
      <c r="F17" s="26" t="s">
        <v>7</v>
      </c>
      <c r="G17" s="22" t="s">
        <v>47</v>
      </c>
      <c r="H17" s="22" t="s">
        <v>70</v>
      </c>
    </row>
    <row r="18" customFormat="false" ht="46.25" hidden="false" customHeight="false" outlineLevel="0" collapsed="false">
      <c r="A18" s="25"/>
      <c r="B18" s="20" t="s">
        <v>77</v>
      </c>
      <c r="C18" s="21" t="s">
        <v>78</v>
      </c>
      <c r="D18" s="22"/>
      <c r="E18" s="22"/>
      <c r="F18" s="26" t="s">
        <v>7</v>
      </c>
      <c r="G18" s="22" t="s">
        <v>47</v>
      </c>
      <c r="H18" s="22"/>
    </row>
    <row r="19" customFormat="false" ht="57.45" hidden="false" customHeight="false" outlineLevel="0" collapsed="false">
      <c r="A19" s="25"/>
      <c r="B19" s="20" t="s">
        <v>80</v>
      </c>
      <c r="C19" s="21" t="s">
        <v>81</v>
      </c>
      <c r="D19" s="22"/>
      <c r="E19" s="22"/>
      <c r="F19" s="26" t="s">
        <v>7</v>
      </c>
      <c r="G19" s="22"/>
      <c r="H19" s="22"/>
    </row>
    <row r="20" customFormat="false" ht="35.05" hidden="false" customHeight="true" outlineLevel="0" collapsed="false">
      <c r="A20" s="27" t="s">
        <v>83</v>
      </c>
      <c r="B20" s="20" t="s">
        <v>84</v>
      </c>
      <c r="C20" s="21" t="s">
        <v>138</v>
      </c>
      <c r="D20" s="22"/>
      <c r="E20" s="22"/>
      <c r="F20" s="26" t="s">
        <v>7</v>
      </c>
      <c r="G20" s="22" t="s">
        <v>47</v>
      </c>
      <c r="H20" s="22"/>
    </row>
    <row r="21" customFormat="false" ht="23.85" hidden="false" customHeight="false" outlineLevel="0" collapsed="false">
      <c r="A21" s="27"/>
      <c r="B21" s="20" t="s">
        <v>86</v>
      </c>
      <c r="C21" s="21" t="s">
        <v>139</v>
      </c>
      <c r="D21" s="22"/>
      <c r="E21" s="22"/>
      <c r="F21" s="26" t="s">
        <v>7</v>
      </c>
      <c r="G21" s="22" t="s">
        <v>47</v>
      </c>
      <c r="H21" s="22"/>
    </row>
    <row r="22" customFormat="false" ht="15" hidden="false" customHeight="false" outlineLevel="0" collapsed="false">
      <c r="A22" s="27"/>
      <c r="B22" s="20" t="s">
        <v>88</v>
      </c>
      <c r="C22" s="21" t="s">
        <v>140</v>
      </c>
      <c r="D22" s="22"/>
      <c r="E22" s="22"/>
      <c r="F22" s="26" t="s">
        <v>7</v>
      </c>
      <c r="G22" s="22" t="s">
        <v>47</v>
      </c>
      <c r="H22" s="22"/>
    </row>
    <row r="23" customFormat="false" ht="15" hidden="false" customHeight="false" outlineLevel="0" collapsed="false">
      <c r="A23" s="27"/>
      <c r="B23" s="20" t="s">
        <v>90</v>
      </c>
      <c r="C23" s="21" t="s">
        <v>91</v>
      </c>
      <c r="D23" s="22"/>
      <c r="E23" s="22"/>
      <c r="F23" s="26" t="s">
        <v>7</v>
      </c>
      <c r="G23" s="22"/>
      <c r="H23" s="22"/>
    </row>
    <row r="24" customFormat="false" ht="23.85" hidden="false" customHeight="false" outlineLevel="0" collapsed="false">
      <c r="A24" s="27"/>
      <c r="B24" s="20" t="s">
        <v>92</v>
      </c>
      <c r="C24" s="21" t="s">
        <v>141</v>
      </c>
      <c r="D24" s="22"/>
      <c r="E24" s="22"/>
      <c r="F24" s="26" t="s">
        <v>7</v>
      </c>
      <c r="G24" s="22" t="s">
        <v>47</v>
      </c>
      <c r="H24" s="22"/>
    </row>
    <row r="25" customFormat="false" ht="23.85" hidden="false" customHeight="false" outlineLevel="0" collapsed="false">
      <c r="A25" s="27"/>
      <c r="B25" s="20" t="s">
        <v>94</v>
      </c>
      <c r="C25" s="21" t="s">
        <v>95</v>
      </c>
      <c r="D25" s="22"/>
      <c r="E25" s="22"/>
      <c r="F25" s="26" t="s">
        <v>7</v>
      </c>
      <c r="G25" s="22"/>
      <c r="H25" s="22"/>
    </row>
    <row r="26" customFormat="false" ht="46.25" hidden="false" customHeight="false" outlineLevel="0" collapsed="false">
      <c r="A26" s="27"/>
      <c r="B26" s="20" t="s">
        <v>96</v>
      </c>
      <c r="C26" s="21" t="s">
        <v>142</v>
      </c>
      <c r="D26" s="22"/>
      <c r="E26" s="22"/>
      <c r="F26" s="26" t="s">
        <v>7</v>
      </c>
      <c r="G26" s="22" t="s">
        <v>47</v>
      </c>
      <c r="H26" s="22"/>
    </row>
    <row r="27" customFormat="false" ht="23.85" hidden="false" customHeight="false" outlineLevel="0" collapsed="false">
      <c r="A27" s="27"/>
      <c r="B27" s="20" t="s">
        <v>98</v>
      </c>
      <c r="C27" s="21" t="s">
        <v>143</v>
      </c>
      <c r="D27" s="22"/>
      <c r="E27" s="22"/>
      <c r="F27" s="26" t="s">
        <v>7</v>
      </c>
      <c r="G27" s="22" t="s">
        <v>47</v>
      </c>
      <c r="H27" s="22"/>
    </row>
    <row r="28" customFormat="false" ht="15" hidden="false" customHeight="true" outlineLevel="0" collapsed="false">
      <c r="A28" s="30" t="s">
        <v>100</v>
      </c>
      <c r="B28" s="20" t="s">
        <v>101</v>
      </c>
      <c r="C28" s="21" t="s">
        <v>102</v>
      </c>
      <c r="D28" s="22"/>
      <c r="E28" s="22"/>
      <c r="F28" s="26" t="s">
        <v>7</v>
      </c>
      <c r="G28" s="22"/>
      <c r="H28" s="22"/>
    </row>
    <row r="29" customFormat="false" ht="23.85" hidden="false" customHeight="false" outlineLevel="0" collapsed="false">
      <c r="A29" s="30"/>
      <c r="B29" s="20" t="s">
        <v>103</v>
      </c>
      <c r="C29" s="21" t="s">
        <v>144</v>
      </c>
      <c r="D29" s="22"/>
      <c r="E29" s="22"/>
      <c r="F29" s="26" t="s">
        <v>7</v>
      </c>
      <c r="G29" s="22" t="s">
        <v>47</v>
      </c>
      <c r="H29" s="22"/>
    </row>
    <row r="30" customFormat="false" ht="35.05" hidden="false" customHeight="false" outlineLevel="0" collapsed="false">
      <c r="A30" s="30"/>
      <c r="B30" s="20" t="s">
        <v>105</v>
      </c>
      <c r="C30" s="21" t="s">
        <v>145</v>
      </c>
      <c r="D30" s="22"/>
      <c r="E30" s="22"/>
      <c r="F30" s="26" t="s">
        <v>7</v>
      </c>
      <c r="G30" s="22" t="s">
        <v>47</v>
      </c>
      <c r="H30" s="22"/>
    </row>
    <row r="31" customFormat="false" ht="23.85" hidden="false" customHeight="false" outlineLevel="0" collapsed="false">
      <c r="A31" s="30"/>
      <c r="B31" s="20" t="s">
        <v>107</v>
      </c>
      <c r="C31" s="21" t="s">
        <v>108</v>
      </c>
      <c r="D31" s="22"/>
      <c r="E31" s="22"/>
      <c r="F31" s="26" t="s">
        <v>7</v>
      </c>
      <c r="G31" s="22"/>
      <c r="H31" s="22"/>
    </row>
    <row r="32" customFormat="false" ht="23.85" hidden="false" customHeight="false" outlineLevel="0" collapsed="false">
      <c r="A32" s="30"/>
      <c r="B32" s="20" t="s">
        <v>109</v>
      </c>
      <c r="C32" s="21" t="s">
        <v>110</v>
      </c>
      <c r="D32" s="22"/>
      <c r="E32" s="22"/>
      <c r="F32" s="26" t="s">
        <v>7</v>
      </c>
      <c r="G32" s="22"/>
      <c r="H32" s="22"/>
    </row>
    <row r="33" customFormat="false" ht="23.85" hidden="false" customHeight="true" outlineLevel="0" collapsed="false">
      <c r="A33" s="31" t="s">
        <v>111</v>
      </c>
      <c r="B33" s="20" t="s">
        <v>112</v>
      </c>
      <c r="C33" s="21" t="s">
        <v>146</v>
      </c>
      <c r="D33" s="22"/>
      <c r="E33" s="22"/>
      <c r="F33" s="26" t="s">
        <v>7</v>
      </c>
      <c r="G33" s="22" t="s">
        <v>47</v>
      </c>
      <c r="H33" s="22"/>
    </row>
    <row r="34" customFormat="false" ht="46.25" hidden="false" customHeight="false" outlineLevel="0" collapsed="false">
      <c r="A34" s="31"/>
      <c r="B34" s="20" t="s">
        <v>114</v>
      </c>
      <c r="C34" s="21" t="s">
        <v>115</v>
      </c>
      <c r="D34" s="22"/>
      <c r="E34" s="22"/>
      <c r="F34" s="26" t="s">
        <v>7</v>
      </c>
      <c r="G34" s="22"/>
      <c r="H34" s="22"/>
    </row>
    <row r="35" customFormat="false" ht="23.85" hidden="false" customHeight="false" outlineLevel="0" collapsed="false">
      <c r="A35" s="31"/>
      <c r="B35" s="20" t="s">
        <v>116</v>
      </c>
      <c r="C35" s="21" t="s">
        <v>117</v>
      </c>
      <c r="D35" s="22"/>
      <c r="E35" s="22"/>
      <c r="F35" s="26" t="s">
        <v>7</v>
      </c>
      <c r="G35" s="22"/>
      <c r="H35" s="22"/>
    </row>
    <row r="36" customFormat="false" ht="23.85" hidden="false" customHeight="false" outlineLevel="0" collapsed="false">
      <c r="A36" s="31"/>
      <c r="B36" s="20" t="s">
        <v>118</v>
      </c>
      <c r="C36" s="21" t="s">
        <v>119</v>
      </c>
      <c r="D36" s="22"/>
      <c r="E36" s="22"/>
      <c r="F36" s="26" t="s">
        <v>7</v>
      </c>
      <c r="G36" s="22"/>
      <c r="H36" s="22"/>
    </row>
    <row r="37" customFormat="false" ht="23.85" hidden="false" customHeight="true" outlineLevel="0" collapsed="false">
      <c r="A37" s="32" t="s">
        <v>120</v>
      </c>
      <c r="B37" s="33" t="s">
        <v>121</v>
      </c>
      <c r="C37" s="34"/>
      <c r="D37" s="35"/>
      <c r="E37" s="35"/>
      <c r="F37" s="35"/>
      <c r="G37" s="35"/>
      <c r="H37" s="35"/>
    </row>
    <row r="38" customFormat="false" ht="23.85" hidden="false" customHeight="false" outlineLevel="0" collapsed="false">
      <c r="A38" s="32"/>
      <c r="B38" s="33" t="s">
        <v>122</v>
      </c>
      <c r="C38" s="34"/>
      <c r="D38" s="35"/>
      <c r="E38" s="35"/>
      <c r="F38" s="35"/>
      <c r="G38" s="35"/>
      <c r="H38" s="35"/>
    </row>
    <row r="39" customFormat="false" ht="35.05" hidden="false" customHeight="false" outlineLevel="0" collapsed="false">
      <c r="A39" s="32"/>
      <c r="B39" s="33" t="s">
        <v>123</v>
      </c>
      <c r="C39" s="34"/>
      <c r="D39" s="35"/>
      <c r="E39" s="35"/>
      <c r="F39" s="35"/>
      <c r="G39" s="35"/>
      <c r="H39" s="35"/>
    </row>
    <row r="40" customFormat="false" ht="23.85" hidden="false" customHeight="false" outlineLevel="0" collapsed="false">
      <c r="A40" s="32"/>
      <c r="B40" s="33" t="s">
        <v>124</v>
      </c>
      <c r="C40" s="34"/>
      <c r="D40" s="35"/>
      <c r="E40" s="35"/>
      <c r="F40" s="35"/>
      <c r="G40" s="35"/>
      <c r="H40" s="35"/>
    </row>
    <row r="41" customFormat="false" ht="23.85" hidden="false" customHeight="false" outlineLevel="0" collapsed="false">
      <c r="A41" s="32"/>
      <c r="B41" s="33" t="s">
        <v>125</v>
      </c>
      <c r="C41" s="34"/>
      <c r="D41" s="35"/>
      <c r="E41" s="35"/>
      <c r="F41" s="35"/>
      <c r="G41" s="35"/>
      <c r="H41" s="35"/>
    </row>
    <row r="42" customFormat="false" ht="46.25" hidden="false" customHeight="false" outlineLevel="0" collapsed="false">
      <c r="A42" s="32"/>
      <c r="B42" s="33" t="s">
        <v>126</v>
      </c>
      <c r="C42" s="34" t="s">
        <v>127</v>
      </c>
      <c r="D42" s="35"/>
      <c r="E42" s="35"/>
      <c r="F42" s="35"/>
      <c r="G42" s="35"/>
      <c r="H42" s="35"/>
    </row>
  </sheetData>
  <mergeCells count="7">
    <mergeCell ref="A1:H5"/>
    <mergeCell ref="A8:A16"/>
    <mergeCell ref="A17:A19"/>
    <mergeCell ref="A20:A27"/>
    <mergeCell ref="A28:A32"/>
    <mergeCell ref="A33:A36"/>
    <mergeCell ref="A37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4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69.75" hidden="false" customHeight="true" outlineLevel="0" collapsed="false">
      <c r="A1" s="12" t="s">
        <v>148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12"/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.75" hidden="false" customHeight="true" outlineLevel="0" collapsed="false">
      <c r="A6" s="13" t="s">
        <v>32</v>
      </c>
      <c r="B6" s="14" t="s">
        <v>4</v>
      </c>
      <c r="C6" s="15" t="s">
        <v>5</v>
      </c>
      <c r="D6" s="16" t="s">
        <v>33</v>
      </c>
      <c r="E6" s="17" t="s">
        <v>34</v>
      </c>
      <c r="F6" s="18" t="s">
        <v>7</v>
      </c>
    </row>
    <row r="7" customFormat="false" ht="15" hidden="false" customHeight="false" outlineLevel="0" collapsed="false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  <row r="8" customFormat="false" ht="23.85" hidden="false" customHeight="true" outlineLevel="0" collapsed="false">
      <c r="A8" s="19" t="s">
        <v>43</v>
      </c>
      <c r="B8" s="20" t="s">
        <v>44</v>
      </c>
      <c r="C8" s="21" t="s">
        <v>129</v>
      </c>
      <c r="D8" s="22"/>
      <c r="E8" s="22"/>
      <c r="F8" s="26" t="s">
        <v>7</v>
      </c>
      <c r="G8" s="22" t="s">
        <v>47</v>
      </c>
      <c r="H8" s="22" t="s">
        <v>48</v>
      </c>
    </row>
    <row r="9" customFormat="false" ht="35.05" hidden="false" customHeight="false" outlineLevel="0" collapsed="false">
      <c r="A9" s="19"/>
      <c r="B9" s="20" t="s">
        <v>49</v>
      </c>
      <c r="C9" s="21" t="s">
        <v>130</v>
      </c>
      <c r="D9" s="22"/>
      <c r="E9" s="22"/>
      <c r="F9" s="26" t="s">
        <v>7</v>
      </c>
      <c r="G9" s="22" t="s">
        <v>47</v>
      </c>
      <c r="H9" s="22" t="s">
        <v>51</v>
      </c>
    </row>
    <row r="10" customFormat="false" ht="35.05" hidden="false" customHeight="false" outlineLevel="0" collapsed="false">
      <c r="A10" s="19"/>
      <c r="B10" s="20" t="s">
        <v>52</v>
      </c>
      <c r="C10" s="21" t="s">
        <v>131</v>
      </c>
      <c r="D10" s="22"/>
      <c r="E10" s="22"/>
      <c r="F10" s="26" t="s">
        <v>7</v>
      </c>
      <c r="G10" s="22" t="s">
        <v>47</v>
      </c>
      <c r="H10" s="22" t="s">
        <v>56</v>
      </c>
    </row>
    <row r="11" customFormat="false" ht="35.05" hidden="false" customHeight="false" outlineLevel="0" collapsed="false">
      <c r="A11" s="19"/>
      <c r="B11" s="20" t="s">
        <v>57</v>
      </c>
      <c r="C11" s="21" t="s">
        <v>132</v>
      </c>
      <c r="D11" s="22"/>
      <c r="E11" s="22"/>
      <c r="F11" s="26" t="s">
        <v>7</v>
      </c>
      <c r="G11" s="22" t="s">
        <v>47</v>
      </c>
      <c r="H11" s="22" t="s">
        <v>48</v>
      </c>
    </row>
    <row r="12" customFormat="false" ht="46.25" hidden="false" customHeight="false" outlineLevel="0" collapsed="false">
      <c r="A12" s="19"/>
      <c r="B12" s="20" t="s">
        <v>59</v>
      </c>
      <c r="C12" s="21" t="s">
        <v>60</v>
      </c>
      <c r="D12" s="22"/>
      <c r="E12" s="22"/>
      <c r="F12" s="26" t="s">
        <v>7</v>
      </c>
      <c r="G12" s="22" t="s">
        <v>47</v>
      </c>
      <c r="H12" s="22" t="s">
        <v>51</v>
      </c>
    </row>
    <row r="13" customFormat="false" ht="35.05" hidden="false" customHeight="false" outlineLevel="0" collapsed="false">
      <c r="A13" s="19"/>
      <c r="B13" s="20" t="s">
        <v>62</v>
      </c>
      <c r="C13" s="21" t="s">
        <v>133</v>
      </c>
      <c r="D13" s="22"/>
      <c r="E13" s="22"/>
      <c r="F13" s="26" t="s">
        <v>7</v>
      </c>
      <c r="G13" s="22" t="s">
        <v>47</v>
      </c>
      <c r="H13" s="22" t="s">
        <v>65</v>
      </c>
    </row>
    <row r="14" customFormat="false" ht="35.05" hidden="false" customHeight="false" outlineLevel="0" collapsed="false">
      <c r="A14" s="19"/>
      <c r="B14" s="20" t="s">
        <v>66</v>
      </c>
      <c r="C14" s="21" t="s">
        <v>134</v>
      </c>
      <c r="D14" s="22"/>
      <c r="E14" s="22"/>
      <c r="F14" s="26" t="s">
        <v>7</v>
      </c>
      <c r="G14" s="22" t="s">
        <v>47</v>
      </c>
      <c r="H14" s="22" t="s">
        <v>65</v>
      </c>
    </row>
    <row r="15" customFormat="false" ht="46.25" hidden="false" customHeight="false" outlineLevel="0" collapsed="false">
      <c r="A15" s="19"/>
      <c r="B15" s="20" t="s">
        <v>68</v>
      </c>
      <c r="C15" s="21" t="s">
        <v>135</v>
      </c>
      <c r="D15" s="22"/>
      <c r="E15" s="22"/>
      <c r="F15" s="26" t="s">
        <v>7</v>
      </c>
      <c r="G15" s="22" t="s">
        <v>47</v>
      </c>
      <c r="H15" s="22" t="s">
        <v>70</v>
      </c>
    </row>
    <row r="16" customFormat="false" ht="35.05" hidden="false" customHeight="false" outlineLevel="0" collapsed="false">
      <c r="A16" s="19"/>
      <c r="B16" s="20" t="s">
        <v>71</v>
      </c>
      <c r="C16" s="21" t="s">
        <v>136</v>
      </c>
      <c r="D16" s="22"/>
      <c r="E16" s="22"/>
      <c r="F16" s="26" t="s">
        <v>7</v>
      </c>
      <c r="G16" s="22" t="s">
        <v>47</v>
      </c>
      <c r="H16" s="22"/>
    </row>
    <row r="17" customFormat="false" ht="46.25" hidden="false" customHeight="true" outlineLevel="0" collapsed="false">
      <c r="A17" s="25" t="s">
        <v>73</v>
      </c>
      <c r="B17" s="20" t="s">
        <v>74</v>
      </c>
      <c r="C17" s="21" t="s">
        <v>137</v>
      </c>
      <c r="D17" s="22"/>
      <c r="E17" s="22"/>
      <c r="F17" s="26" t="s">
        <v>7</v>
      </c>
      <c r="G17" s="22" t="s">
        <v>47</v>
      </c>
      <c r="H17" s="22" t="s">
        <v>70</v>
      </c>
    </row>
    <row r="18" customFormat="false" ht="46.25" hidden="false" customHeight="false" outlineLevel="0" collapsed="false">
      <c r="A18" s="25"/>
      <c r="B18" s="20" t="s">
        <v>77</v>
      </c>
      <c r="C18" s="21" t="s">
        <v>78</v>
      </c>
      <c r="D18" s="22"/>
      <c r="E18" s="22"/>
      <c r="F18" s="26" t="s">
        <v>7</v>
      </c>
      <c r="G18" s="22" t="s">
        <v>47</v>
      </c>
      <c r="H18" s="22"/>
    </row>
    <row r="19" customFormat="false" ht="57.45" hidden="false" customHeight="false" outlineLevel="0" collapsed="false">
      <c r="A19" s="25"/>
      <c r="B19" s="20" t="s">
        <v>80</v>
      </c>
      <c r="C19" s="21" t="s">
        <v>81</v>
      </c>
      <c r="D19" s="22"/>
      <c r="E19" s="22"/>
      <c r="F19" s="26" t="s">
        <v>7</v>
      </c>
      <c r="G19" s="22"/>
      <c r="H19" s="22"/>
    </row>
    <row r="20" customFormat="false" ht="35.05" hidden="false" customHeight="true" outlineLevel="0" collapsed="false">
      <c r="A20" s="27" t="s">
        <v>83</v>
      </c>
      <c r="B20" s="20" t="s">
        <v>84</v>
      </c>
      <c r="C20" s="21" t="s">
        <v>138</v>
      </c>
      <c r="D20" s="22"/>
      <c r="E20" s="22"/>
      <c r="F20" s="26" t="s">
        <v>7</v>
      </c>
      <c r="G20" s="22" t="s">
        <v>47</v>
      </c>
      <c r="H20" s="22"/>
    </row>
    <row r="21" customFormat="false" ht="23.85" hidden="false" customHeight="false" outlineLevel="0" collapsed="false">
      <c r="A21" s="27"/>
      <c r="B21" s="20" t="s">
        <v>86</v>
      </c>
      <c r="C21" s="21" t="s">
        <v>139</v>
      </c>
      <c r="D21" s="22"/>
      <c r="E21" s="22"/>
      <c r="F21" s="26" t="s">
        <v>7</v>
      </c>
      <c r="G21" s="22" t="s">
        <v>47</v>
      </c>
      <c r="H21" s="22"/>
    </row>
    <row r="22" customFormat="false" ht="15" hidden="false" customHeight="false" outlineLevel="0" collapsed="false">
      <c r="A22" s="27"/>
      <c r="B22" s="20" t="s">
        <v>88</v>
      </c>
      <c r="C22" s="21" t="s">
        <v>140</v>
      </c>
      <c r="D22" s="22"/>
      <c r="E22" s="22"/>
      <c r="F22" s="26" t="s">
        <v>7</v>
      </c>
      <c r="G22" s="22" t="s">
        <v>47</v>
      </c>
      <c r="H22" s="22"/>
    </row>
    <row r="23" customFormat="false" ht="15" hidden="false" customHeight="false" outlineLevel="0" collapsed="false">
      <c r="A23" s="27"/>
      <c r="B23" s="20" t="s">
        <v>90</v>
      </c>
      <c r="C23" s="21" t="s">
        <v>91</v>
      </c>
      <c r="D23" s="22"/>
      <c r="E23" s="22"/>
      <c r="F23" s="26" t="s">
        <v>7</v>
      </c>
      <c r="G23" s="22"/>
      <c r="H23" s="22"/>
    </row>
    <row r="24" customFormat="false" ht="23.85" hidden="false" customHeight="false" outlineLevel="0" collapsed="false">
      <c r="A24" s="27"/>
      <c r="B24" s="20" t="s">
        <v>92</v>
      </c>
      <c r="C24" s="21" t="s">
        <v>141</v>
      </c>
      <c r="D24" s="22"/>
      <c r="E24" s="22"/>
      <c r="F24" s="26" t="s">
        <v>7</v>
      </c>
      <c r="G24" s="22" t="s">
        <v>47</v>
      </c>
      <c r="H24" s="22"/>
    </row>
    <row r="25" customFormat="false" ht="23.85" hidden="false" customHeight="false" outlineLevel="0" collapsed="false">
      <c r="A25" s="27"/>
      <c r="B25" s="20" t="s">
        <v>94</v>
      </c>
      <c r="C25" s="21" t="s">
        <v>95</v>
      </c>
      <c r="D25" s="22"/>
      <c r="E25" s="22"/>
      <c r="F25" s="26" t="s">
        <v>7</v>
      </c>
      <c r="G25" s="22"/>
      <c r="H25" s="22"/>
    </row>
    <row r="26" customFormat="false" ht="46.25" hidden="false" customHeight="false" outlineLevel="0" collapsed="false">
      <c r="A26" s="27"/>
      <c r="B26" s="20" t="s">
        <v>96</v>
      </c>
      <c r="C26" s="21" t="s">
        <v>142</v>
      </c>
      <c r="D26" s="22"/>
      <c r="E26" s="22"/>
      <c r="F26" s="26" t="s">
        <v>7</v>
      </c>
      <c r="G26" s="22" t="s">
        <v>47</v>
      </c>
      <c r="H26" s="22"/>
    </row>
    <row r="27" customFormat="false" ht="23.85" hidden="false" customHeight="false" outlineLevel="0" collapsed="false">
      <c r="A27" s="27"/>
      <c r="B27" s="20" t="s">
        <v>98</v>
      </c>
      <c r="C27" s="21" t="s">
        <v>143</v>
      </c>
      <c r="D27" s="22"/>
      <c r="E27" s="22"/>
      <c r="F27" s="26" t="s">
        <v>7</v>
      </c>
      <c r="G27" s="22" t="s">
        <v>47</v>
      </c>
      <c r="H27" s="22"/>
    </row>
    <row r="28" customFormat="false" ht="15" hidden="false" customHeight="true" outlineLevel="0" collapsed="false">
      <c r="A28" s="30" t="s">
        <v>100</v>
      </c>
      <c r="B28" s="20" t="s">
        <v>101</v>
      </c>
      <c r="C28" s="21" t="s">
        <v>102</v>
      </c>
      <c r="D28" s="22"/>
      <c r="E28" s="22"/>
      <c r="F28" s="26" t="s">
        <v>7</v>
      </c>
      <c r="G28" s="22"/>
      <c r="H28" s="22"/>
    </row>
    <row r="29" customFormat="false" ht="23.85" hidden="false" customHeight="false" outlineLevel="0" collapsed="false">
      <c r="A29" s="30"/>
      <c r="B29" s="20" t="s">
        <v>103</v>
      </c>
      <c r="C29" s="21" t="s">
        <v>144</v>
      </c>
      <c r="D29" s="22"/>
      <c r="E29" s="22"/>
      <c r="F29" s="26" t="s">
        <v>7</v>
      </c>
      <c r="G29" s="22" t="s">
        <v>47</v>
      </c>
      <c r="H29" s="22"/>
    </row>
    <row r="30" customFormat="false" ht="35.05" hidden="false" customHeight="false" outlineLevel="0" collapsed="false">
      <c r="A30" s="30"/>
      <c r="B30" s="20" t="s">
        <v>105</v>
      </c>
      <c r="C30" s="21" t="s">
        <v>145</v>
      </c>
      <c r="D30" s="22"/>
      <c r="E30" s="22"/>
      <c r="F30" s="26" t="s">
        <v>7</v>
      </c>
      <c r="G30" s="22" t="s">
        <v>47</v>
      </c>
      <c r="H30" s="22"/>
    </row>
    <row r="31" customFormat="false" ht="23.85" hidden="false" customHeight="false" outlineLevel="0" collapsed="false">
      <c r="A31" s="30"/>
      <c r="B31" s="20" t="s">
        <v>107</v>
      </c>
      <c r="C31" s="21" t="s">
        <v>108</v>
      </c>
      <c r="D31" s="22"/>
      <c r="E31" s="22"/>
      <c r="F31" s="26" t="s">
        <v>7</v>
      </c>
      <c r="G31" s="22"/>
      <c r="H31" s="22"/>
    </row>
    <row r="32" customFormat="false" ht="23.85" hidden="false" customHeight="false" outlineLevel="0" collapsed="false">
      <c r="A32" s="30"/>
      <c r="B32" s="20" t="s">
        <v>109</v>
      </c>
      <c r="C32" s="21" t="s">
        <v>110</v>
      </c>
      <c r="D32" s="22"/>
      <c r="E32" s="22"/>
      <c r="F32" s="26" t="s">
        <v>7</v>
      </c>
      <c r="G32" s="22"/>
      <c r="H32" s="22"/>
    </row>
    <row r="33" customFormat="false" ht="23.85" hidden="false" customHeight="true" outlineLevel="0" collapsed="false">
      <c r="A33" s="31" t="s">
        <v>111</v>
      </c>
      <c r="B33" s="20" t="s">
        <v>112</v>
      </c>
      <c r="C33" s="21" t="s">
        <v>146</v>
      </c>
      <c r="D33" s="22"/>
      <c r="E33" s="22"/>
      <c r="F33" s="26" t="s">
        <v>7</v>
      </c>
      <c r="G33" s="22" t="s">
        <v>47</v>
      </c>
      <c r="H33" s="22"/>
    </row>
    <row r="34" customFormat="false" ht="46.25" hidden="false" customHeight="false" outlineLevel="0" collapsed="false">
      <c r="A34" s="31"/>
      <c r="B34" s="20" t="s">
        <v>114</v>
      </c>
      <c r="C34" s="21" t="s">
        <v>115</v>
      </c>
      <c r="D34" s="22"/>
      <c r="E34" s="22"/>
      <c r="F34" s="26" t="s">
        <v>7</v>
      </c>
      <c r="G34" s="22"/>
      <c r="H34" s="22"/>
    </row>
    <row r="35" customFormat="false" ht="23.85" hidden="false" customHeight="false" outlineLevel="0" collapsed="false">
      <c r="A35" s="31"/>
      <c r="B35" s="20" t="s">
        <v>116</v>
      </c>
      <c r="C35" s="21" t="s">
        <v>117</v>
      </c>
      <c r="D35" s="22"/>
      <c r="E35" s="22"/>
      <c r="F35" s="26" t="s">
        <v>7</v>
      </c>
      <c r="G35" s="22"/>
      <c r="H35" s="22"/>
    </row>
    <row r="36" customFormat="false" ht="23.85" hidden="false" customHeight="false" outlineLevel="0" collapsed="false">
      <c r="A36" s="31"/>
      <c r="B36" s="20" t="s">
        <v>118</v>
      </c>
      <c r="C36" s="21" t="s">
        <v>119</v>
      </c>
      <c r="D36" s="22"/>
      <c r="E36" s="22"/>
      <c r="F36" s="26" t="s">
        <v>7</v>
      </c>
      <c r="G36" s="22"/>
      <c r="H36" s="22"/>
    </row>
    <row r="37" customFormat="false" ht="23.85" hidden="false" customHeight="true" outlineLevel="0" collapsed="false">
      <c r="A37" s="32" t="s">
        <v>120</v>
      </c>
      <c r="B37" s="33" t="s">
        <v>121</v>
      </c>
      <c r="C37" s="34"/>
      <c r="D37" s="35"/>
      <c r="E37" s="35"/>
      <c r="F37" s="35"/>
      <c r="G37" s="35"/>
      <c r="H37" s="35"/>
    </row>
    <row r="38" customFormat="false" ht="23.85" hidden="false" customHeight="false" outlineLevel="0" collapsed="false">
      <c r="A38" s="32"/>
      <c r="B38" s="33" t="s">
        <v>122</v>
      </c>
      <c r="C38" s="34"/>
      <c r="D38" s="35"/>
      <c r="E38" s="35"/>
      <c r="F38" s="35"/>
      <c r="G38" s="35"/>
      <c r="H38" s="35"/>
    </row>
    <row r="39" customFormat="false" ht="35.05" hidden="false" customHeight="false" outlineLevel="0" collapsed="false">
      <c r="A39" s="32"/>
      <c r="B39" s="33" t="s">
        <v>123</v>
      </c>
      <c r="C39" s="34"/>
      <c r="D39" s="35"/>
      <c r="E39" s="35"/>
      <c r="F39" s="35"/>
      <c r="G39" s="35"/>
      <c r="H39" s="35"/>
    </row>
    <row r="40" customFormat="false" ht="23.85" hidden="false" customHeight="false" outlineLevel="0" collapsed="false">
      <c r="A40" s="32"/>
      <c r="B40" s="33" t="s">
        <v>124</v>
      </c>
      <c r="C40" s="34"/>
      <c r="D40" s="35"/>
      <c r="E40" s="35"/>
      <c r="F40" s="35"/>
      <c r="G40" s="35"/>
      <c r="H40" s="35"/>
    </row>
    <row r="41" customFormat="false" ht="23.85" hidden="false" customHeight="false" outlineLevel="0" collapsed="false">
      <c r="A41" s="32"/>
      <c r="B41" s="33" t="s">
        <v>125</v>
      </c>
      <c r="C41" s="34"/>
      <c r="D41" s="35"/>
      <c r="E41" s="35"/>
      <c r="F41" s="35"/>
      <c r="G41" s="35"/>
      <c r="H41" s="35"/>
    </row>
    <row r="42" customFormat="false" ht="46.25" hidden="false" customHeight="false" outlineLevel="0" collapsed="false">
      <c r="A42" s="32"/>
      <c r="B42" s="33" t="s">
        <v>126</v>
      </c>
      <c r="C42" s="34" t="s">
        <v>127</v>
      </c>
      <c r="D42" s="35"/>
      <c r="E42" s="35"/>
      <c r="F42" s="35"/>
      <c r="G42" s="35"/>
      <c r="H42" s="35"/>
    </row>
  </sheetData>
  <mergeCells count="7">
    <mergeCell ref="A1:H5"/>
    <mergeCell ref="A8:A16"/>
    <mergeCell ref="A17:A19"/>
    <mergeCell ref="A20:A27"/>
    <mergeCell ref="A28:A32"/>
    <mergeCell ref="A33:A36"/>
    <mergeCell ref="A37:A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2026-07-28T04:34:41Z</dcterms:created>
  <dc:creator>openpyxl</dc:creator>
  <dc:description/>
  <dc:language>en-US</dc:language>
  <cp:lastModifiedBy/>
  <dcterms:modified xsi:type="dcterms:W3CDTF">2026-07-28T04:34:41Z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